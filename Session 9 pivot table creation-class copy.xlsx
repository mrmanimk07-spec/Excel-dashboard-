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Manikandan M\Downloads\"/>
    </mc:Choice>
  </mc:AlternateContent>
  <xr:revisionPtr revIDLastSave="0" documentId="13_ncr:1_{1C04275F-BA00-43F1-A7FF-D39B741CDE82}" xr6:coauthVersionLast="47" xr6:coauthVersionMax="47" xr10:uidLastSave="{00000000-0000-0000-0000-000000000000}"/>
  <bookViews>
    <workbookView xWindow="-108" yWindow="-108" windowWidth="23256" windowHeight="12456" xr2:uid="{00000000-000D-0000-FFFF-FFFF00000000}"/>
  </bookViews>
  <sheets>
    <sheet name="transformed Sales data" sheetId="1" r:id="rId1"/>
    <sheet name="product vs unit sold region" sheetId="5" r:id="rId2"/>
    <sheet name="product vs Revenue" sheetId="7" r:id="rId3"/>
    <sheet name="date vs total unit sold" sheetId="8" r:id="rId4"/>
    <sheet name="Dashboard" sheetId="11" r:id="rId5"/>
    <sheet name="Store vs total revenue" sheetId="9" r:id="rId6"/>
    <sheet name="Date vs average revenue" sheetId="10" r:id="rId7"/>
    <sheet name="Forecasting for august month" sheetId="12" r:id="rId8"/>
    <sheet name="sales_original" sheetId="2" r:id="rId9"/>
    <sheet name="product table" sheetId="3" r:id="rId10"/>
    <sheet name="stores table" sheetId="4" r:id="rId11"/>
  </sheets>
  <definedNames>
    <definedName name="_xlcn.WorksheetConnection_Pivot_Tables_Training_DatasetCopy.xlsxProduct">#REF!</definedName>
    <definedName name="_xlcn.WorksheetConnection_Pivot_Tables_Training_DatasetCopy.xlsxSales">#REF!</definedName>
    <definedName name="_xlcn.WorksheetConnection_Session9pivottablecreationclasscopy.xlsxProduct1" hidden="1">Product[]</definedName>
    <definedName name="_xlcn.WorksheetConnection_Session9pivottablecreationclasscopy.xlsxsales1" hidden="1">sales[]</definedName>
    <definedName name="_xlcn.WorksheetConnection_Session9pivottablecreationclasscopy.xlsxstore1" hidden="1">store[]</definedName>
    <definedName name="_xlcn.WorksheetConnection_Session9pivottablecreationclasscopy.xlsxTable_11" hidden="1">Table_1[]</definedName>
    <definedName name="NativeTimeline_Date">#REF!</definedName>
    <definedName name="Slicer_Category">#N/A</definedName>
    <definedName name="Slicer_Date">#REF!</definedName>
    <definedName name="Slicer_Product_name">#REF!</definedName>
    <definedName name="Slicer_Product_name1">#REF!</definedName>
    <definedName name="Slicer_ProductID">#REF!</definedName>
    <definedName name="Slicer_ProductName">#N/A</definedName>
    <definedName name="Slicer_ProductName2">#N/A</definedName>
    <definedName name="Slicer_region">#REF!</definedName>
    <definedName name="Slicer_Region1">#N/A</definedName>
    <definedName name="Timeline_Date">#N/A</definedName>
    <definedName name="Timeline_Date1">#N/A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FCE2AD5D-F65C-4FA6-A056-5C36A1767C68}">
      <x15:dataModel>
        <x15:modelTables>
          <x15:modelTable id="Table_1" name="Table_1" connection="WorksheetConnection_Session 9 pivot table creation-class copy.xlsx!Table_1"/>
          <x15:modelTable id="store" name="store" connection="WorksheetConnection_Session 9 pivot table creation-class copy.xlsx!store"/>
          <x15:modelTable id="sales" name="sales" connection="WorksheetConnection_Session 9 pivot table creation-class copy.xlsx!sales"/>
          <x15:modelTable id="Product" name="Product" connection="WorksheetConnection_Session 9 pivot table creation-class copy.xlsx!Product"/>
        </x15:modelTables>
        <x15:modelRelationships>
          <x15:modelRelationship fromTable="sales" fromColumn="ProductID" toTable="Product" toColumn="ProductID"/>
          <x15:modelRelationship fromTable="sales" fromColumn="StoreID" toTable="store" toColumn="Stor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oDG/61ZPv/65Stu8oSOR/1G9GImhM8RDFBB7HiHbhDM="/>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C13" i="12"/>
  <c r="C12" i="12"/>
  <c r="C14" i="12"/>
  <c r="D14" i="12"/>
  <c r="E14" i="12"/>
  <c r="D12" i="12"/>
  <c r="E12" i="12"/>
  <c r="D13" i="12"/>
  <c r="E1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7F5940-CEE1-44DD-8B65-597D3DFFA7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4F0DFDC-8498-41A1-A597-4CC61FD91712}" name="WorksheetConnection_Session 9 pivot table creation-class copy.xlsx!Product" type="102" refreshedVersion="8" minRefreshableVersion="5">
    <extLst>
      <ext xmlns:x15="http://schemas.microsoft.com/office/spreadsheetml/2010/11/main" uri="{DE250136-89BD-433C-8126-D09CA5730AF9}">
        <x15:connection id="Product">
          <x15:rangePr sourceName="_xlcn.WorksheetConnection_Session9pivottablecreationclasscopy.xlsxProduct1"/>
        </x15:connection>
      </ext>
    </extLst>
  </connection>
  <connection id="3" xr16:uid="{E277EA88-E138-49E7-8250-5A320A458B6A}" name="WorksheetConnection_Session 9 pivot table creation-class copy.xlsx!sales" type="102" refreshedVersion="8" minRefreshableVersion="5">
    <extLst>
      <ext xmlns:x15="http://schemas.microsoft.com/office/spreadsheetml/2010/11/main" uri="{DE250136-89BD-433C-8126-D09CA5730AF9}">
        <x15:connection id="sales">
          <x15:rangePr sourceName="_xlcn.WorksheetConnection_Session9pivottablecreationclasscopy.xlsxsales1"/>
        </x15:connection>
      </ext>
    </extLst>
  </connection>
  <connection id="4" xr16:uid="{97198C03-80CA-432E-8BB2-DA1CAF6160A6}" name="WorksheetConnection_Session 9 pivot table creation-class copy.xlsx!store" type="102" refreshedVersion="8" minRefreshableVersion="5">
    <extLst>
      <ext xmlns:x15="http://schemas.microsoft.com/office/spreadsheetml/2010/11/main" uri="{DE250136-89BD-433C-8126-D09CA5730AF9}">
        <x15:connection id="store">
          <x15:rangePr sourceName="_xlcn.WorksheetConnection_Session9pivottablecreationclasscopy.xlsxstore1"/>
        </x15:connection>
      </ext>
    </extLst>
  </connection>
  <connection id="5" xr16:uid="{58156979-189A-4414-8B50-2E6731219E33}" name="WorksheetConnection_Session 9 pivot table creation-class copy.xlsx!Table_1" type="102" refreshedVersion="8" minRefreshableVersion="5">
    <extLst>
      <ext xmlns:x15="http://schemas.microsoft.com/office/spreadsheetml/2010/11/main" uri="{DE250136-89BD-433C-8126-D09CA5730AF9}">
        <x15:connection id="Table_1">
          <x15:rangePr sourceName="_xlcn.WorksheetConnection_Session9pivottablecreationclasscopy.xlsxTable_11"/>
        </x15:connection>
      </ext>
    </extLst>
  </connection>
</connections>
</file>

<file path=xl/sharedStrings.xml><?xml version="1.0" encoding="utf-8"?>
<sst xmlns="http://schemas.openxmlformats.org/spreadsheetml/2006/main" count="293" uniqueCount="52">
  <si>
    <t xml:space="preserve">Date </t>
  </si>
  <si>
    <t>ProductID</t>
  </si>
  <si>
    <t>StoreID</t>
  </si>
  <si>
    <t>Store cities</t>
  </si>
  <si>
    <t>region</t>
  </si>
  <si>
    <t>Product name</t>
  </si>
  <si>
    <t>product category</t>
  </si>
  <si>
    <t>Units</t>
  </si>
  <si>
    <t>price</t>
  </si>
  <si>
    <t>revenue</t>
  </si>
  <si>
    <t>P101</t>
  </si>
  <si>
    <t>S1</t>
  </si>
  <si>
    <t>Mumbai Central</t>
  </si>
  <si>
    <t>West</t>
  </si>
  <si>
    <t>Notebook</t>
  </si>
  <si>
    <t>Stationery</t>
  </si>
  <si>
    <t>P102</t>
  </si>
  <si>
    <t>S2</t>
  </si>
  <si>
    <t>Bengaluru MG Road</t>
  </si>
  <si>
    <t>South</t>
  </si>
  <si>
    <t>Pen</t>
  </si>
  <si>
    <t>P103</t>
  </si>
  <si>
    <t>S3</t>
  </si>
  <si>
    <t>Delhi Connaught</t>
  </si>
  <si>
    <t>North</t>
  </si>
  <si>
    <t>Stapler</t>
  </si>
  <si>
    <t>Office Supplies</t>
  </si>
  <si>
    <t>P104</t>
  </si>
  <si>
    <t>Marker</t>
  </si>
  <si>
    <t>P105</t>
  </si>
  <si>
    <t>Folder</t>
  </si>
  <si>
    <t>conditional formating</t>
  </si>
  <si>
    <t>ProductName</t>
  </si>
  <si>
    <t>Category</t>
  </si>
  <si>
    <t>Price</t>
  </si>
  <si>
    <t>StoreName</t>
  </si>
  <si>
    <t>Region</t>
  </si>
  <si>
    <t>Bengaluru MG Rd</t>
  </si>
  <si>
    <t>Row Labels</t>
  </si>
  <si>
    <t>Grand Total</t>
  </si>
  <si>
    <t>Sum of revenue</t>
  </si>
  <si>
    <t>Total revenue</t>
  </si>
  <si>
    <t>Total unit sold datewise</t>
  </si>
  <si>
    <t>Average of revenue</t>
  </si>
  <si>
    <t>Store</t>
  </si>
  <si>
    <t>date</t>
  </si>
  <si>
    <t>Product vs unit sold across region</t>
  </si>
  <si>
    <t xml:space="preserve">Product </t>
  </si>
  <si>
    <t>Sales dashboard</t>
  </si>
  <si>
    <t>Forecast(revenue)</t>
  </si>
  <si>
    <t>Lower Confidence Bound(revenue)</t>
  </si>
  <si>
    <t>Upper Confidence Bound(revenue)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</si>
</sst>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b/>
      <sz val="11"/>
      <color theme="1"/>
      <name val="Calibri"/>
    </font>
    <font>
      <sz val="11"/>
      <color theme="1"/>
      <name val="Calibri"/>
    </font>
    <font>
      <sz val="11"/>
      <color theme="1"/>
      <name val="Calibri"/>
      <scheme val="minor"/>
    </font>
    <font>
      <sz val="28"/>
      <color theme="1"/>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rgb="FFFF0000"/>
        <bgColor indexed="64"/>
      </patternFill>
    </fill>
  </fills>
  <borders count="13">
    <border>
      <left/>
      <right/>
      <top/>
      <bottom/>
      <diagonal/>
    </border>
    <border>
      <left style="thin">
        <color rgb="FF000000"/>
      </left>
      <right style="thin">
        <color rgb="FF000000"/>
      </right>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top style="thin">
        <color rgb="FFABABAB"/>
      </top>
      <bottom/>
      <diagonal/>
    </border>
    <border>
      <left style="thin">
        <color rgb="FFABABAB"/>
      </left>
      <right/>
      <top style="thin">
        <color rgb="FFABABAB"/>
      </top>
      <bottom style="thin">
        <color rgb="FFABABAB"/>
      </bottom>
      <diagonal/>
    </border>
    <border>
      <left/>
      <right/>
      <top style="thin">
        <color indexed="65"/>
      </top>
      <bottom/>
      <diagonal/>
    </border>
    <border>
      <left/>
      <right/>
      <top style="thin">
        <color rgb="FFABABAB"/>
      </top>
      <bottom style="thin">
        <color rgb="FFABABAB"/>
      </bottom>
      <diagonal/>
    </border>
  </borders>
  <cellStyleXfs count="1">
    <xf numFmtId="0" fontId="0" fillId="0" borderId="0"/>
  </cellStyleXfs>
  <cellXfs count="28">
    <xf numFmtId="0" fontId="0" fillId="0" borderId="0" xfId="0"/>
    <xf numFmtId="0" fontId="1" fillId="0" borderId="0" xfId="0" applyFont="1"/>
    <xf numFmtId="0" fontId="1" fillId="0" borderId="1" xfId="0" applyFont="1" applyBorder="1" applyAlignment="1">
      <alignment horizontal="center" vertical="top"/>
    </xf>
    <xf numFmtId="14" fontId="2" fillId="0" borderId="0" xfId="0" applyNumberFormat="1" applyFont="1"/>
    <xf numFmtId="0" fontId="3" fillId="0" borderId="0" xfId="0" applyFont="1"/>
    <xf numFmtId="0" fontId="0" fillId="0" borderId="2" xfId="0" applyBorder="1"/>
    <xf numFmtId="0" fontId="0" fillId="0" borderId="3" xfId="0" applyBorder="1"/>
    <xf numFmtId="0" fontId="0" fillId="0" borderId="4" xfId="0" applyBorder="1"/>
    <xf numFmtId="0" fontId="0" fillId="0" borderId="2" xfId="0" pivotButton="1" applyBorder="1"/>
    <xf numFmtId="0" fontId="0" fillId="0" borderId="9" xfId="0" applyBorder="1"/>
    <xf numFmtId="0" fontId="0" fillId="0" borderId="6" xfId="0" applyBorder="1"/>
    <xf numFmtId="0" fontId="0" fillId="0" borderId="2" xfId="0" applyBorder="1" applyAlignment="1">
      <alignment horizontal="left"/>
    </xf>
    <xf numFmtId="0" fontId="0" fillId="0" borderId="5" xfId="0" applyBorder="1" applyAlignment="1">
      <alignment horizontal="left" indent="1"/>
    </xf>
    <xf numFmtId="0" fontId="0" fillId="0" borderId="5" xfId="0" applyBorder="1" applyAlignment="1">
      <alignment horizontal="left"/>
    </xf>
    <xf numFmtId="0" fontId="0" fillId="0" borderId="10" xfId="0" applyBorder="1" applyAlignment="1">
      <alignment horizontal="left"/>
    </xf>
    <xf numFmtId="0" fontId="0" fillId="0" borderId="7" xfId="0" applyBorder="1"/>
    <xf numFmtId="0" fontId="0" fillId="0" borderId="8" xfId="0" applyBorder="1"/>
    <xf numFmtId="14" fontId="0" fillId="0" borderId="2" xfId="0" applyNumberFormat="1" applyBorder="1" applyAlignment="1">
      <alignment horizontal="left"/>
    </xf>
    <xf numFmtId="14" fontId="0" fillId="0" borderId="5" xfId="0" applyNumberFormat="1" applyBorder="1" applyAlignment="1">
      <alignment horizontal="left"/>
    </xf>
    <xf numFmtId="0" fontId="0" fillId="0" borderId="5" xfId="0" applyBorder="1"/>
    <xf numFmtId="0" fontId="0" fillId="0" borderId="11" xfId="0" applyBorder="1"/>
    <xf numFmtId="0" fontId="0" fillId="0" borderId="10" xfId="0" applyBorder="1"/>
    <xf numFmtId="0" fontId="0" fillId="0" borderId="12" xfId="0" applyBorder="1"/>
    <xf numFmtId="0" fontId="0" fillId="2" borderId="0" xfId="0" applyFill="1"/>
    <xf numFmtId="0" fontId="0" fillId="3" borderId="0" xfId="0" applyFill="1"/>
    <xf numFmtId="0" fontId="4" fillId="3" borderId="0" xfId="0" applyFont="1" applyFill="1"/>
    <xf numFmtId="14" fontId="0" fillId="0" borderId="0" xfId="0" applyNumberFormat="1"/>
    <xf numFmtId="2" fontId="0" fillId="0" borderId="0" xfId="0" applyNumberFormat="1"/>
  </cellXfs>
  <cellStyles count="1">
    <cellStyle name="Normal" xfId="0" builtinId="0"/>
  </cellStyles>
  <dxfs count="17">
    <dxf>
      <numFmt numFmtId="2" formatCode="0.00"/>
    </dxf>
    <dxf>
      <numFmt numFmtId="2" formatCode="0.00"/>
    </dxf>
    <dxf>
      <numFmt numFmtId="19" formatCode="dd/mm/yyyy"/>
    </dxf>
    <dxf>
      <numFmt numFmtId="0" formatCode="General"/>
    </dxf>
    <dxf>
      <font>
        <b val="0"/>
        <i val="0"/>
        <strike val="0"/>
        <condense val="0"/>
        <extend val="0"/>
        <outline val="0"/>
        <shadow val="0"/>
        <u val="none"/>
        <vertAlign val="baseline"/>
        <sz val="11"/>
        <color theme="1"/>
        <name val="Calibri"/>
        <scheme val="minor"/>
      </font>
      <numFmt numFmtId="0" formatCode="General"/>
    </dxf>
    <dxf>
      <fill>
        <patternFill patternType="solid">
          <fgColor rgb="FFB8CCE4"/>
          <bgColor rgb="FFB8CCE4"/>
        </patternFill>
      </fill>
    </dxf>
    <dxf>
      <fill>
        <patternFill patternType="solid">
          <fgColor rgb="FFDBE5F1"/>
          <bgColor rgb="FFDBE5F1"/>
        </patternFill>
      </fill>
    </dxf>
    <dxf>
      <fill>
        <patternFill patternType="solid">
          <fgColor theme="6"/>
          <bgColor theme="6"/>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5"/>
          <bgColor theme="5"/>
        </patternFill>
      </fill>
    </dxf>
    <dxf>
      <fill>
        <patternFill patternType="solid">
          <fgColor rgb="FFB8CCE4"/>
          <bgColor rgb="FFB8CCE4"/>
        </patternFill>
      </fill>
    </dxf>
    <dxf>
      <fill>
        <patternFill patternType="solid">
          <fgColor rgb="FFDBE5F1"/>
          <bgColor rgb="FFDBE5F1"/>
        </patternFill>
      </fill>
    </dxf>
    <dxf>
      <fill>
        <patternFill patternType="solid">
          <fgColor theme="5"/>
          <bgColor theme="5"/>
        </patternFill>
      </fill>
    </dxf>
  </dxfs>
  <tableStyles count="4">
    <tableStyle name="transformed Sales data-style" pivot="0" count="3" xr9:uid="{00000000-0011-0000-FFFF-FFFF00000000}">
      <tableStyleElement type="headerRow" dxfId="16"/>
      <tableStyleElement type="firstRowStripe" dxfId="15"/>
      <tableStyleElement type="secondRowStripe" dxfId="14"/>
    </tableStyle>
    <tableStyle name="sales_original-style" pivot="0" count="3" xr9:uid="{00000000-0011-0000-FFFF-FFFF01000000}">
      <tableStyleElement type="headerRow" dxfId="13"/>
      <tableStyleElement type="firstRowStripe" dxfId="12"/>
      <tableStyleElement type="secondRowStripe" dxfId="11"/>
    </tableStyle>
    <tableStyle name="product table-style" pivot="0" count="3" xr9:uid="{00000000-0011-0000-FFFF-FFFF02000000}">
      <tableStyleElement type="headerRow" dxfId="10"/>
      <tableStyleElement type="firstRowStripe" dxfId="9"/>
      <tableStyleElement type="secondRowStripe" dxfId="8"/>
    </tableStyle>
    <tableStyle name="stores table-style" pivot="0" count="3" xr9:uid="{00000000-0011-0000-FFFF-FFFF03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11/relationships/timelineCache" Target="timelineCaches/timeline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11/relationships/timelineCache" Target="timelineCaches/timeline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7.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customschemas.google.com/relationships/workbookmetadata" Target="metadata"/><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copy.xlsx]product vs unit sold region!PivotTable1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vs unit sold region'!$B$3:$B$4</c:f>
              <c:strCache>
                <c:ptCount val="1"/>
                <c:pt idx="0">
                  <c:v>North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'product vs unit sold region'!$A$5:$A$7</c:f>
              <c:multiLvlStrCache>
                <c:ptCount val="1"/>
                <c:lvl>
                  <c:pt idx="0">
                    <c:v>Folder</c:v>
                  </c:pt>
                </c:lvl>
                <c:lvl>
                  <c:pt idx="0">
                    <c:v>Office Supplies</c:v>
                  </c:pt>
                </c:lvl>
              </c:multiLvlStrCache>
            </c:multiLvlStrRef>
          </c:cat>
          <c:val>
            <c:numRef>
              <c:f>'product vs unit sold region'!$B$5:$B$7</c:f>
              <c:numCache>
                <c:formatCode>General</c:formatCode>
                <c:ptCount val="1"/>
                <c:pt idx="0">
                  <c:v>14</c:v>
                </c:pt>
              </c:numCache>
            </c:numRef>
          </c:val>
          <c:extLst>
            <c:ext xmlns:c16="http://schemas.microsoft.com/office/drawing/2014/chart" uri="{C3380CC4-5D6E-409C-BE32-E72D297353CC}">
              <c16:uniqueId val="{00000000-8632-4C2C-87D1-C6C87E9124F9}"/>
            </c:ext>
          </c:extLst>
        </c:ser>
        <c:ser>
          <c:idx val="1"/>
          <c:order val="1"/>
          <c:tx>
            <c:strRef>
              <c:f>'product vs unit sold region'!$C$3:$C$4</c:f>
              <c:strCache>
                <c:ptCount val="1"/>
                <c:pt idx="0">
                  <c:v>South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'product vs unit sold region'!$A$5:$A$7</c:f>
              <c:multiLvlStrCache>
                <c:ptCount val="1"/>
                <c:lvl>
                  <c:pt idx="0">
                    <c:v>Folder</c:v>
                  </c:pt>
                </c:lvl>
                <c:lvl>
                  <c:pt idx="0">
                    <c:v>Office Supplies</c:v>
                  </c:pt>
                </c:lvl>
              </c:multiLvlStrCache>
            </c:multiLvlStrRef>
          </c:cat>
          <c:val>
            <c:numRef>
              <c:f>'product vs unit sold region'!$C$5:$C$7</c:f>
              <c:numCache>
                <c:formatCode>General</c:formatCode>
                <c:ptCount val="1"/>
                <c:pt idx="0">
                  <c:v>34</c:v>
                </c:pt>
              </c:numCache>
            </c:numRef>
          </c:val>
          <c:extLst>
            <c:ext xmlns:c16="http://schemas.microsoft.com/office/drawing/2014/chart" uri="{C3380CC4-5D6E-409C-BE32-E72D297353CC}">
              <c16:uniqueId val="{00000001-8632-4C2C-87D1-C6C87E9124F9}"/>
            </c:ext>
          </c:extLst>
        </c:ser>
        <c:ser>
          <c:idx val="2"/>
          <c:order val="2"/>
          <c:tx>
            <c:strRef>
              <c:f>'product vs unit sold region'!$D$3:$D$4</c:f>
              <c:strCache>
                <c:ptCount val="1"/>
                <c:pt idx="0">
                  <c:v>West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'product vs unit sold region'!$A$5:$A$7</c:f>
              <c:multiLvlStrCache>
                <c:ptCount val="1"/>
                <c:lvl>
                  <c:pt idx="0">
                    <c:v>Folder</c:v>
                  </c:pt>
                </c:lvl>
                <c:lvl>
                  <c:pt idx="0">
                    <c:v>Office Supplies</c:v>
                  </c:pt>
                </c:lvl>
              </c:multiLvlStrCache>
            </c:multiLvlStrRef>
          </c:cat>
          <c:val>
            <c:numRef>
              <c:f>'product vs unit sold region'!$D$5:$D$7</c:f>
              <c:numCache>
                <c:formatCode>General</c:formatCode>
                <c:ptCount val="1"/>
                <c:pt idx="0">
                  <c:v>70</c:v>
                </c:pt>
              </c:numCache>
            </c:numRef>
          </c:val>
          <c:extLst>
            <c:ext xmlns:c16="http://schemas.microsoft.com/office/drawing/2014/chart" uri="{C3380CC4-5D6E-409C-BE32-E72D297353CC}">
              <c16:uniqueId val="{00000002-8632-4C2C-87D1-C6C87E9124F9}"/>
            </c:ext>
          </c:extLst>
        </c:ser>
        <c:dLbls>
          <c:showLegendKey val="0"/>
          <c:showVal val="0"/>
          <c:showCatName val="0"/>
          <c:showSerName val="0"/>
          <c:showPercent val="0"/>
          <c:showBubbleSize val="0"/>
        </c:dLbls>
        <c:gapWidth val="150"/>
        <c:shape val="box"/>
        <c:axId val="1950942319"/>
        <c:axId val="1950944239"/>
        <c:axId val="0"/>
      </c:bar3DChart>
      <c:catAx>
        <c:axId val="195094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944239"/>
        <c:crosses val="autoZero"/>
        <c:auto val="1"/>
        <c:lblAlgn val="ctr"/>
        <c:lblOffset val="100"/>
        <c:noMultiLvlLbl val="0"/>
      </c:catAx>
      <c:valAx>
        <c:axId val="19509442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94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copy.xlsx]product vs Revenue!PivotTable3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a:t>
            </a:r>
            <a:r>
              <a:rPr lang="en-US" baseline="0"/>
              <a:t> vs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vs Revenue'!$B$3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900C-4774-866F-9D6E3A4FE9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900C-4774-866F-9D6E3A4FE9F0}"/>
              </c:ext>
            </c:extLst>
          </c:dPt>
          <c:cat>
            <c:strRef>
              <c:f>'product vs Revenue'!$A$4:$A$6</c:f>
              <c:strCache>
                <c:ptCount val="2"/>
                <c:pt idx="0">
                  <c:v>Folder</c:v>
                </c:pt>
                <c:pt idx="1">
                  <c:v>Stapler</c:v>
                </c:pt>
              </c:strCache>
            </c:strRef>
          </c:cat>
          <c:val>
            <c:numRef>
              <c:f>'product vs Revenue'!$B$4:$B$6</c:f>
              <c:numCache>
                <c:formatCode>General</c:formatCode>
                <c:ptCount val="2"/>
                <c:pt idx="0">
                  <c:v>35495</c:v>
                </c:pt>
                <c:pt idx="1">
                  <c:v>35495</c:v>
                </c:pt>
              </c:numCache>
            </c:numRef>
          </c:val>
          <c:extLst>
            <c:ext xmlns:c16="http://schemas.microsoft.com/office/drawing/2014/chart" uri="{C3380CC4-5D6E-409C-BE32-E72D297353CC}">
              <c16:uniqueId val="{00000000-0CEC-4EDB-8CBA-FD46AA71600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copy.xlsx]date vs total unit sold!PivotTable4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 vs total unit sold'!$B$3:$B$4</c:f>
              <c:strCache>
                <c:ptCount val="1"/>
                <c:pt idx="0">
                  <c:v>Folder</c:v>
                </c:pt>
              </c:strCache>
            </c:strRef>
          </c:tx>
          <c:spPr>
            <a:solidFill>
              <a:schemeClr val="accent1"/>
            </a:solidFill>
            <a:ln>
              <a:noFill/>
            </a:ln>
            <a:effectLst/>
          </c:spPr>
          <c:invertIfNegative val="0"/>
          <c:cat>
            <c:strRef>
              <c:f>'date vs total unit sold'!$A$5:$A$11</c:f>
              <c:strCache>
                <c:ptCount val="6"/>
                <c:pt idx="0">
                  <c:v>02-07-2025</c:v>
                </c:pt>
                <c:pt idx="1">
                  <c:v>03-07-2025</c:v>
                </c:pt>
                <c:pt idx="2">
                  <c:v>05-07-2025</c:v>
                </c:pt>
                <c:pt idx="3">
                  <c:v>07-07-2025</c:v>
                </c:pt>
                <c:pt idx="4">
                  <c:v>08-07-2025</c:v>
                </c:pt>
                <c:pt idx="5">
                  <c:v>10-07-2025</c:v>
                </c:pt>
              </c:strCache>
            </c:strRef>
          </c:cat>
          <c:val>
            <c:numRef>
              <c:f>'date vs total unit sold'!$B$5:$B$11</c:f>
              <c:numCache>
                <c:formatCode>General</c:formatCode>
                <c:ptCount val="6"/>
                <c:pt idx="1">
                  <c:v>15</c:v>
                </c:pt>
                <c:pt idx="2">
                  <c:v>25</c:v>
                </c:pt>
                <c:pt idx="4">
                  <c:v>59</c:v>
                </c:pt>
                <c:pt idx="5">
                  <c:v>19</c:v>
                </c:pt>
              </c:numCache>
            </c:numRef>
          </c:val>
          <c:extLst>
            <c:ext xmlns:c16="http://schemas.microsoft.com/office/drawing/2014/chart" uri="{C3380CC4-5D6E-409C-BE32-E72D297353CC}">
              <c16:uniqueId val="{00000029-4A44-467E-8655-87C93943F744}"/>
            </c:ext>
          </c:extLst>
        </c:ser>
        <c:ser>
          <c:idx val="1"/>
          <c:order val="1"/>
          <c:tx>
            <c:strRef>
              <c:f>'date vs total unit sold'!$C$3:$C$4</c:f>
              <c:strCache>
                <c:ptCount val="1"/>
                <c:pt idx="0">
                  <c:v>Stapler</c:v>
                </c:pt>
              </c:strCache>
            </c:strRef>
          </c:tx>
          <c:spPr>
            <a:solidFill>
              <a:schemeClr val="accent2"/>
            </a:solidFill>
            <a:ln>
              <a:noFill/>
            </a:ln>
            <a:effectLst/>
          </c:spPr>
          <c:invertIfNegative val="0"/>
          <c:cat>
            <c:strRef>
              <c:f>'date vs total unit sold'!$A$5:$A$11</c:f>
              <c:strCache>
                <c:ptCount val="6"/>
                <c:pt idx="0">
                  <c:v>02-07-2025</c:v>
                </c:pt>
                <c:pt idx="1">
                  <c:v>03-07-2025</c:v>
                </c:pt>
                <c:pt idx="2">
                  <c:v>05-07-2025</c:v>
                </c:pt>
                <c:pt idx="3">
                  <c:v>07-07-2025</c:v>
                </c:pt>
                <c:pt idx="4">
                  <c:v>08-07-2025</c:v>
                </c:pt>
                <c:pt idx="5">
                  <c:v>10-07-2025</c:v>
                </c:pt>
              </c:strCache>
            </c:strRef>
          </c:cat>
          <c:val>
            <c:numRef>
              <c:f>'date vs total unit sold'!$C$5:$C$11</c:f>
              <c:numCache>
                <c:formatCode>General</c:formatCode>
                <c:ptCount val="6"/>
                <c:pt idx="0">
                  <c:v>8</c:v>
                </c:pt>
                <c:pt idx="2">
                  <c:v>6</c:v>
                </c:pt>
                <c:pt idx="3">
                  <c:v>20</c:v>
                </c:pt>
                <c:pt idx="5">
                  <c:v>11</c:v>
                </c:pt>
              </c:numCache>
            </c:numRef>
          </c:val>
          <c:extLst>
            <c:ext xmlns:c16="http://schemas.microsoft.com/office/drawing/2014/chart" uri="{C3380CC4-5D6E-409C-BE32-E72D297353CC}">
              <c16:uniqueId val="{0000002A-4A44-467E-8655-87C93943F744}"/>
            </c:ext>
          </c:extLst>
        </c:ser>
        <c:dLbls>
          <c:showLegendKey val="0"/>
          <c:showVal val="0"/>
          <c:showCatName val="0"/>
          <c:showSerName val="0"/>
          <c:showPercent val="0"/>
          <c:showBubbleSize val="0"/>
        </c:dLbls>
        <c:gapWidth val="219"/>
        <c:axId val="1848495695"/>
        <c:axId val="1848494735"/>
      </c:barChart>
      <c:catAx>
        <c:axId val="18484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94735"/>
        <c:crosses val="autoZero"/>
        <c:auto val="1"/>
        <c:lblAlgn val="ctr"/>
        <c:lblOffset val="100"/>
        <c:noMultiLvlLbl val="0"/>
      </c:catAx>
      <c:valAx>
        <c:axId val="184849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9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copy.xlsx]product vs unit sold region!PivotTable1</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vs unit sold region'!$B$3:$B$4</c:f>
              <c:strCache>
                <c:ptCount val="1"/>
                <c:pt idx="0">
                  <c:v>North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'product vs unit sold region'!$A$5:$A$7</c:f>
              <c:multiLvlStrCache>
                <c:ptCount val="1"/>
                <c:lvl>
                  <c:pt idx="0">
                    <c:v>Folder</c:v>
                  </c:pt>
                </c:lvl>
                <c:lvl>
                  <c:pt idx="0">
                    <c:v>Office Supplies</c:v>
                  </c:pt>
                </c:lvl>
              </c:multiLvlStrCache>
            </c:multiLvlStrRef>
          </c:cat>
          <c:val>
            <c:numRef>
              <c:f>'product vs unit sold region'!$B$5:$B$7</c:f>
              <c:numCache>
                <c:formatCode>General</c:formatCode>
                <c:ptCount val="1"/>
                <c:pt idx="0">
                  <c:v>14</c:v>
                </c:pt>
              </c:numCache>
            </c:numRef>
          </c:val>
          <c:extLst>
            <c:ext xmlns:c16="http://schemas.microsoft.com/office/drawing/2014/chart" uri="{C3380CC4-5D6E-409C-BE32-E72D297353CC}">
              <c16:uniqueId val="{00000000-4215-4F4D-9B7D-D23D26E0E370}"/>
            </c:ext>
          </c:extLst>
        </c:ser>
        <c:ser>
          <c:idx val="1"/>
          <c:order val="1"/>
          <c:tx>
            <c:strRef>
              <c:f>'product vs unit sold region'!$C$3:$C$4</c:f>
              <c:strCache>
                <c:ptCount val="1"/>
                <c:pt idx="0">
                  <c:v>South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'product vs unit sold region'!$A$5:$A$7</c:f>
              <c:multiLvlStrCache>
                <c:ptCount val="1"/>
                <c:lvl>
                  <c:pt idx="0">
                    <c:v>Folder</c:v>
                  </c:pt>
                </c:lvl>
                <c:lvl>
                  <c:pt idx="0">
                    <c:v>Office Supplies</c:v>
                  </c:pt>
                </c:lvl>
              </c:multiLvlStrCache>
            </c:multiLvlStrRef>
          </c:cat>
          <c:val>
            <c:numRef>
              <c:f>'product vs unit sold region'!$C$5:$C$7</c:f>
              <c:numCache>
                <c:formatCode>General</c:formatCode>
                <c:ptCount val="1"/>
                <c:pt idx="0">
                  <c:v>34</c:v>
                </c:pt>
              </c:numCache>
            </c:numRef>
          </c:val>
          <c:extLst>
            <c:ext xmlns:c16="http://schemas.microsoft.com/office/drawing/2014/chart" uri="{C3380CC4-5D6E-409C-BE32-E72D297353CC}">
              <c16:uniqueId val="{00000001-4215-4F4D-9B7D-D23D26E0E370}"/>
            </c:ext>
          </c:extLst>
        </c:ser>
        <c:ser>
          <c:idx val="2"/>
          <c:order val="2"/>
          <c:tx>
            <c:strRef>
              <c:f>'product vs unit sold region'!$D$3:$D$4</c:f>
              <c:strCache>
                <c:ptCount val="1"/>
                <c:pt idx="0">
                  <c:v>West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'product vs unit sold region'!$A$5:$A$7</c:f>
              <c:multiLvlStrCache>
                <c:ptCount val="1"/>
                <c:lvl>
                  <c:pt idx="0">
                    <c:v>Folder</c:v>
                  </c:pt>
                </c:lvl>
                <c:lvl>
                  <c:pt idx="0">
                    <c:v>Office Supplies</c:v>
                  </c:pt>
                </c:lvl>
              </c:multiLvlStrCache>
            </c:multiLvlStrRef>
          </c:cat>
          <c:val>
            <c:numRef>
              <c:f>'product vs unit sold region'!$D$5:$D$7</c:f>
              <c:numCache>
                <c:formatCode>General</c:formatCode>
                <c:ptCount val="1"/>
                <c:pt idx="0">
                  <c:v>70</c:v>
                </c:pt>
              </c:numCache>
            </c:numRef>
          </c:val>
          <c:extLst>
            <c:ext xmlns:c16="http://schemas.microsoft.com/office/drawing/2014/chart" uri="{C3380CC4-5D6E-409C-BE32-E72D297353CC}">
              <c16:uniqueId val="{00000002-4215-4F4D-9B7D-D23D26E0E370}"/>
            </c:ext>
          </c:extLst>
        </c:ser>
        <c:dLbls>
          <c:showLegendKey val="0"/>
          <c:showVal val="0"/>
          <c:showCatName val="0"/>
          <c:showSerName val="0"/>
          <c:showPercent val="0"/>
          <c:showBubbleSize val="0"/>
        </c:dLbls>
        <c:gapWidth val="150"/>
        <c:shape val="box"/>
        <c:axId val="1950942319"/>
        <c:axId val="1950944239"/>
        <c:axId val="0"/>
      </c:bar3DChart>
      <c:catAx>
        <c:axId val="195094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944239"/>
        <c:crosses val="autoZero"/>
        <c:auto val="1"/>
        <c:lblAlgn val="ctr"/>
        <c:lblOffset val="100"/>
        <c:noMultiLvlLbl val="0"/>
      </c:catAx>
      <c:valAx>
        <c:axId val="19509442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94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copy.xlsx]date vs total unit sold!PivotTable4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 vs total unit sold'!$B$3:$B$4</c:f>
              <c:strCache>
                <c:ptCount val="1"/>
                <c:pt idx="0">
                  <c:v>Folder</c:v>
                </c:pt>
              </c:strCache>
            </c:strRef>
          </c:tx>
          <c:spPr>
            <a:solidFill>
              <a:schemeClr val="accent1"/>
            </a:solidFill>
            <a:ln>
              <a:noFill/>
            </a:ln>
            <a:effectLst/>
          </c:spPr>
          <c:invertIfNegative val="0"/>
          <c:cat>
            <c:strRef>
              <c:f>'date vs total unit sold'!$A$5:$A$11</c:f>
              <c:strCache>
                <c:ptCount val="6"/>
                <c:pt idx="0">
                  <c:v>02-07-2025</c:v>
                </c:pt>
                <c:pt idx="1">
                  <c:v>03-07-2025</c:v>
                </c:pt>
                <c:pt idx="2">
                  <c:v>05-07-2025</c:v>
                </c:pt>
                <c:pt idx="3">
                  <c:v>07-07-2025</c:v>
                </c:pt>
                <c:pt idx="4">
                  <c:v>08-07-2025</c:v>
                </c:pt>
                <c:pt idx="5">
                  <c:v>10-07-2025</c:v>
                </c:pt>
              </c:strCache>
            </c:strRef>
          </c:cat>
          <c:val>
            <c:numRef>
              <c:f>'date vs total unit sold'!$B$5:$B$11</c:f>
              <c:numCache>
                <c:formatCode>General</c:formatCode>
                <c:ptCount val="6"/>
                <c:pt idx="1">
                  <c:v>15</c:v>
                </c:pt>
                <c:pt idx="2">
                  <c:v>25</c:v>
                </c:pt>
                <c:pt idx="4">
                  <c:v>59</c:v>
                </c:pt>
                <c:pt idx="5">
                  <c:v>19</c:v>
                </c:pt>
              </c:numCache>
            </c:numRef>
          </c:val>
          <c:extLst>
            <c:ext xmlns:c16="http://schemas.microsoft.com/office/drawing/2014/chart" uri="{C3380CC4-5D6E-409C-BE32-E72D297353CC}">
              <c16:uniqueId val="{00000000-5CE9-4975-A336-2159BD4E8A9E}"/>
            </c:ext>
          </c:extLst>
        </c:ser>
        <c:ser>
          <c:idx val="1"/>
          <c:order val="1"/>
          <c:tx>
            <c:strRef>
              <c:f>'date vs total unit sold'!$C$3:$C$4</c:f>
              <c:strCache>
                <c:ptCount val="1"/>
                <c:pt idx="0">
                  <c:v>Stapler</c:v>
                </c:pt>
              </c:strCache>
            </c:strRef>
          </c:tx>
          <c:spPr>
            <a:solidFill>
              <a:schemeClr val="accent2"/>
            </a:solidFill>
            <a:ln>
              <a:noFill/>
            </a:ln>
            <a:effectLst/>
          </c:spPr>
          <c:invertIfNegative val="0"/>
          <c:cat>
            <c:strRef>
              <c:f>'date vs total unit sold'!$A$5:$A$11</c:f>
              <c:strCache>
                <c:ptCount val="6"/>
                <c:pt idx="0">
                  <c:v>02-07-2025</c:v>
                </c:pt>
                <c:pt idx="1">
                  <c:v>03-07-2025</c:v>
                </c:pt>
                <c:pt idx="2">
                  <c:v>05-07-2025</c:v>
                </c:pt>
                <c:pt idx="3">
                  <c:v>07-07-2025</c:v>
                </c:pt>
                <c:pt idx="4">
                  <c:v>08-07-2025</c:v>
                </c:pt>
                <c:pt idx="5">
                  <c:v>10-07-2025</c:v>
                </c:pt>
              </c:strCache>
            </c:strRef>
          </c:cat>
          <c:val>
            <c:numRef>
              <c:f>'date vs total unit sold'!$C$5:$C$11</c:f>
              <c:numCache>
                <c:formatCode>General</c:formatCode>
                <c:ptCount val="6"/>
                <c:pt idx="0">
                  <c:v>8</c:v>
                </c:pt>
                <c:pt idx="2">
                  <c:v>6</c:v>
                </c:pt>
                <c:pt idx="3">
                  <c:v>20</c:v>
                </c:pt>
                <c:pt idx="5">
                  <c:v>11</c:v>
                </c:pt>
              </c:numCache>
            </c:numRef>
          </c:val>
          <c:extLst>
            <c:ext xmlns:c16="http://schemas.microsoft.com/office/drawing/2014/chart" uri="{C3380CC4-5D6E-409C-BE32-E72D297353CC}">
              <c16:uniqueId val="{00000001-5CE9-4975-A336-2159BD4E8A9E}"/>
            </c:ext>
          </c:extLst>
        </c:ser>
        <c:dLbls>
          <c:showLegendKey val="0"/>
          <c:showVal val="0"/>
          <c:showCatName val="0"/>
          <c:showSerName val="0"/>
          <c:showPercent val="0"/>
          <c:showBubbleSize val="0"/>
        </c:dLbls>
        <c:gapWidth val="219"/>
        <c:axId val="1848495695"/>
        <c:axId val="1848494735"/>
      </c:barChart>
      <c:catAx>
        <c:axId val="18484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94735"/>
        <c:crosses val="autoZero"/>
        <c:auto val="1"/>
        <c:lblAlgn val="ctr"/>
        <c:lblOffset val="100"/>
        <c:noMultiLvlLbl val="0"/>
      </c:catAx>
      <c:valAx>
        <c:axId val="184849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49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copy.xlsx]product vs Revenue!PivotTable3</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a:t>
            </a:r>
            <a:r>
              <a:rPr lang="en-US" baseline="0"/>
              <a:t> vs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vs Revenue'!$B$3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6FF-449C-99A0-E54E787919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6FF-449C-99A0-E54E787919C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6FF-449C-99A0-E54E787919C2}"/>
              </c:ext>
            </c:extLst>
          </c:dPt>
          <c:cat>
            <c:strRef>
              <c:f>'product vs Revenue'!$A$4:$A$6</c:f>
              <c:strCache>
                <c:ptCount val="2"/>
                <c:pt idx="0">
                  <c:v>Folder</c:v>
                </c:pt>
                <c:pt idx="1">
                  <c:v>Stapler</c:v>
                </c:pt>
              </c:strCache>
            </c:strRef>
          </c:cat>
          <c:val>
            <c:numRef>
              <c:f>'product vs Revenue'!$B$4:$B$6</c:f>
              <c:numCache>
                <c:formatCode>General</c:formatCode>
                <c:ptCount val="2"/>
                <c:pt idx="0">
                  <c:v>35495</c:v>
                </c:pt>
                <c:pt idx="1">
                  <c:v>35495</c:v>
                </c:pt>
              </c:numCache>
            </c:numRef>
          </c:val>
          <c:extLst>
            <c:ext xmlns:c16="http://schemas.microsoft.com/office/drawing/2014/chart" uri="{C3380CC4-5D6E-409C-BE32-E72D297353CC}">
              <c16:uniqueId val="{00000006-46FF-449C-99A0-E54E787919C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copy.xlsx]Date vs average revenue!PivotTable7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date</a:t>
            </a:r>
            <a:r>
              <a:rPr lang="en-IN" baseline="0"/>
              <a:t> vs total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vs average revenue'!$B$3</c:f>
              <c:strCache>
                <c:ptCount val="1"/>
                <c:pt idx="0">
                  <c:v>Total</c:v>
                </c:pt>
              </c:strCache>
            </c:strRef>
          </c:tx>
          <c:spPr>
            <a:ln w="28575" cap="rnd">
              <a:solidFill>
                <a:schemeClr val="accent1"/>
              </a:solidFill>
              <a:round/>
            </a:ln>
            <a:effectLst/>
          </c:spPr>
          <c:marker>
            <c:symbol val="none"/>
          </c:marker>
          <c:cat>
            <c:strRef>
              <c:f>'Date vs average revenue'!$A$4:$A$14</c:f>
              <c:strCache>
                <c:ptCount val="10"/>
                <c:pt idx="0">
                  <c:v>01-07-2025</c:v>
                </c:pt>
                <c:pt idx="1">
                  <c:v>02-07-2025</c:v>
                </c:pt>
                <c:pt idx="2">
                  <c:v>03-07-2025</c:v>
                </c:pt>
                <c:pt idx="3">
                  <c:v>04-07-2025</c:v>
                </c:pt>
                <c:pt idx="4">
                  <c:v>05-07-2025</c:v>
                </c:pt>
                <c:pt idx="5">
                  <c:v>06-07-2025</c:v>
                </c:pt>
                <c:pt idx="6">
                  <c:v>07-07-2025</c:v>
                </c:pt>
                <c:pt idx="7">
                  <c:v>08-07-2025</c:v>
                </c:pt>
                <c:pt idx="8">
                  <c:v>09-07-2025</c:v>
                </c:pt>
                <c:pt idx="9">
                  <c:v>10-07-2025</c:v>
                </c:pt>
              </c:strCache>
            </c:strRef>
          </c:cat>
          <c:val>
            <c:numRef>
              <c:f>'Date vs average revenue'!$B$4:$B$14</c:f>
              <c:numCache>
                <c:formatCode>General</c:formatCode>
                <c:ptCount val="10"/>
                <c:pt idx="0">
                  <c:v>982.5</c:v>
                </c:pt>
                <c:pt idx="1">
                  <c:v>1210</c:v>
                </c:pt>
                <c:pt idx="2">
                  <c:v>1455</c:v>
                </c:pt>
                <c:pt idx="3">
                  <c:v>450</c:v>
                </c:pt>
                <c:pt idx="4">
                  <c:v>1285</c:v>
                </c:pt>
                <c:pt idx="5">
                  <c:v>2010</c:v>
                </c:pt>
                <c:pt idx="6">
                  <c:v>2380</c:v>
                </c:pt>
                <c:pt idx="7">
                  <c:v>1637.5</c:v>
                </c:pt>
                <c:pt idx="8">
                  <c:v>787.5</c:v>
                </c:pt>
                <c:pt idx="9">
                  <c:v>1562.5</c:v>
                </c:pt>
              </c:numCache>
            </c:numRef>
          </c:val>
          <c:smooth val="0"/>
          <c:extLst>
            <c:ext xmlns:c16="http://schemas.microsoft.com/office/drawing/2014/chart" uri="{C3380CC4-5D6E-409C-BE32-E72D297353CC}">
              <c16:uniqueId val="{00000000-229F-4DB4-8E78-38E73E576A45}"/>
            </c:ext>
          </c:extLst>
        </c:ser>
        <c:dLbls>
          <c:showLegendKey val="0"/>
          <c:showVal val="0"/>
          <c:showCatName val="0"/>
          <c:showSerName val="0"/>
          <c:showPercent val="0"/>
          <c:showBubbleSize val="0"/>
        </c:dLbls>
        <c:smooth val="0"/>
        <c:axId val="2036467183"/>
        <c:axId val="2035643679"/>
      </c:lineChart>
      <c:catAx>
        <c:axId val="20364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43679"/>
        <c:crosses val="autoZero"/>
        <c:auto val="1"/>
        <c:lblAlgn val="ctr"/>
        <c:lblOffset val="100"/>
        <c:noMultiLvlLbl val="0"/>
      </c:catAx>
      <c:valAx>
        <c:axId val="203564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4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9 pivot table creation-class copy.xlsx]Date vs average revenue!PivotTable7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date</a:t>
            </a:r>
            <a:r>
              <a:rPr lang="en-IN" baseline="0"/>
              <a:t> vs total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vs average revenue'!$B$3</c:f>
              <c:strCache>
                <c:ptCount val="1"/>
                <c:pt idx="0">
                  <c:v>Total</c:v>
                </c:pt>
              </c:strCache>
            </c:strRef>
          </c:tx>
          <c:spPr>
            <a:ln w="28575" cap="rnd">
              <a:solidFill>
                <a:schemeClr val="accent1"/>
              </a:solidFill>
              <a:round/>
            </a:ln>
            <a:effectLst/>
          </c:spPr>
          <c:marker>
            <c:symbol val="none"/>
          </c:marker>
          <c:cat>
            <c:strRef>
              <c:f>'Date vs average revenue'!$A$4:$A$14</c:f>
              <c:strCache>
                <c:ptCount val="10"/>
                <c:pt idx="0">
                  <c:v>01-07-2025</c:v>
                </c:pt>
                <c:pt idx="1">
                  <c:v>02-07-2025</c:v>
                </c:pt>
                <c:pt idx="2">
                  <c:v>03-07-2025</c:v>
                </c:pt>
                <c:pt idx="3">
                  <c:v>04-07-2025</c:v>
                </c:pt>
                <c:pt idx="4">
                  <c:v>05-07-2025</c:v>
                </c:pt>
                <c:pt idx="5">
                  <c:v>06-07-2025</c:v>
                </c:pt>
                <c:pt idx="6">
                  <c:v>07-07-2025</c:v>
                </c:pt>
                <c:pt idx="7">
                  <c:v>08-07-2025</c:v>
                </c:pt>
                <c:pt idx="8">
                  <c:v>09-07-2025</c:v>
                </c:pt>
                <c:pt idx="9">
                  <c:v>10-07-2025</c:v>
                </c:pt>
              </c:strCache>
            </c:strRef>
          </c:cat>
          <c:val>
            <c:numRef>
              <c:f>'Date vs average revenue'!$B$4:$B$14</c:f>
              <c:numCache>
                <c:formatCode>General</c:formatCode>
                <c:ptCount val="10"/>
                <c:pt idx="0">
                  <c:v>982.5</c:v>
                </c:pt>
                <c:pt idx="1">
                  <c:v>1210</c:v>
                </c:pt>
                <c:pt idx="2">
                  <c:v>1455</c:v>
                </c:pt>
                <c:pt idx="3">
                  <c:v>450</c:v>
                </c:pt>
                <c:pt idx="4">
                  <c:v>1285</c:v>
                </c:pt>
                <c:pt idx="5">
                  <c:v>2010</c:v>
                </c:pt>
                <c:pt idx="6">
                  <c:v>2380</c:v>
                </c:pt>
                <c:pt idx="7">
                  <c:v>1637.5</c:v>
                </c:pt>
                <c:pt idx="8">
                  <c:v>787.5</c:v>
                </c:pt>
                <c:pt idx="9">
                  <c:v>1562.5</c:v>
                </c:pt>
              </c:numCache>
            </c:numRef>
          </c:val>
          <c:smooth val="0"/>
          <c:extLst>
            <c:ext xmlns:c16="http://schemas.microsoft.com/office/drawing/2014/chart" uri="{C3380CC4-5D6E-409C-BE32-E72D297353CC}">
              <c16:uniqueId val="{00000002-28A9-439E-9C96-2F8E17ADD328}"/>
            </c:ext>
          </c:extLst>
        </c:ser>
        <c:dLbls>
          <c:showLegendKey val="0"/>
          <c:showVal val="0"/>
          <c:showCatName val="0"/>
          <c:showSerName val="0"/>
          <c:showPercent val="0"/>
          <c:showBubbleSize val="0"/>
        </c:dLbls>
        <c:smooth val="0"/>
        <c:axId val="2036467183"/>
        <c:axId val="2035643679"/>
      </c:lineChart>
      <c:catAx>
        <c:axId val="20364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43679"/>
        <c:crosses val="autoZero"/>
        <c:auto val="1"/>
        <c:lblAlgn val="ctr"/>
        <c:lblOffset val="100"/>
        <c:noMultiLvlLbl val="0"/>
      </c:catAx>
      <c:valAx>
        <c:axId val="203564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4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'Forecasting for august month'!$B$1</c:f>
              <c:strCache>
                <c:ptCount val="1"/>
                <c:pt idx="0">
                  <c:v>revenue</c:v>
                </c:pt>
              </c:strCache>
            </c:strRef>
          </c:tx>
          <c:spPr>
            <a:ln w="28575" cap="rnd">
              <a:solidFill>
                <a:schemeClr val="accent1"/>
              </a:solidFill>
              <a:round/>
            </a:ln>
            <a:effectLst/>
          </c:spPr>
          <c:marker>
            <c:symbol val="none"/>
          </c:marker>
          <c:val>
            <c:numRef>
              <c:f>'Forecasting for august month'!$B$2:$B$14</c:f>
              <c:numCache>
                <c:formatCode>General</c:formatCode>
                <c:ptCount val="13"/>
                <c:pt idx="0">
                  <c:v>982.5</c:v>
                </c:pt>
                <c:pt idx="1">
                  <c:v>1210</c:v>
                </c:pt>
                <c:pt idx="2">
                  <c:v>1455</c:v>
                </c:pt>
                <c:pt idx="3">
                  <c:v>450</c:v>
                </c:pt>
                <c:pt idx="4">
                  <c:v>1285</c:v>
                </c:pt>
                <c:pt idx="5">
                  <c:v>2010</c:v>
                </c:pt>
                <c:pt idx="6">
                  <c:v>2380</c:v>
                </c:pt>
                <c:pt idx="7">
                  <c:v>1637.5</c:v>
                </c:pt>
                <c:pt idx="8">
                  <c:v>787.5</c:v>
                </c:pt>
                <c:pt idx="9">
                  <c:v>1562.5</c:v>
                </c:pt>
              </c:numCache>
            </c:numRef>
          </c:val>
          <c:smooth val="0"/>
          <c:extLst>
            <c:ext xmlns:c16="http://schemas.microsoft.com/office/drawing/2014/chart" uri="{C3380CC4-5D6E-409C-BE32-E72D297353CC}">
              <c16:uniqueId val="{00000000-DE42-4531-B930-688813204BD0}"/>
            </c:ext>
          </c:extLst>
        </c:ser>
        <c:ser>
          <c:idx val="1"/>
          <c:order val="1"/>
          <c:tx>
            <c:strRef>
              <c:f>'Forecasting for august month'!$C$1</c:f>
              <c:strCache>
                <c:ptCount val="1"/>
                <c:pt idx="0">
                  <c:v>Forecast(revenue)</c:v>
                </c:pt>
              </c:strCache>
            </c:strRef>
          </c:tx>
          <c:spPr>
            <a:ln w="25400" cap="rnd">
              <a:solidFill>
                <a:schemeClr val="accent2"/>
              </a:solidFill>
              <a:round/>
            </a:ln>
            <a:effectLst/>
          </c:spPr>
          <c:marker>
            <c:symbol val="none"/>
          </c:marker>
          <c:cat>
            <c:numRef>
              <c:f>'Forecasting for august month'!$A$2:$A$14</c:f>
              <c:numCache>
                <c:formatCode>m/d/yyyy</c:formatCode>
                <c:ptCount val="13"/>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numCache>
            </c:numRef>
          </c:cat>
          <c:val>
            <c:numRef>
              <c:f>'Forecasting for august month'!$C$2:$C$14</c:f>
              <c:numCache>
                <c:formatCode>General</c:formatCode>
                <c:ptCount val="13"/>
                <c:pt idx="9">
                  <c:v>1562.5</c:v>
                </c:pt>
                <c:pt idx="10">
                  <c:v>1579.3407618418107</c:v>
                </c:pt>
                <c:pt idx="11">
                  <c:v>1639.3330299281627</c:v>
                </c:pt>
                <c:pt idx="12">
                  <c:v>1699.3252980145146</c:v>
                </c:pt>
              </c:numCache>
            </c:numRef>
          </c:val>
          <c:smooth val="0"/>
          <c:extLst>
            <c:ext xmlns:c16="http://schemas.microsoft.com/office/drawing/2014/chart" uri="{C3380CC4-5D6E-409C-BE32-E72D297353CC}">
              <c16:uniqueId val="{00000001-DE42-4531-B930-688813204BD0}"/>
            </c:ext>
          </c:extLst>
        </c:ser>
        <c:ser>
          <c:idx val="2"/>
          <c:order val="2"/>
          <c:tx>
            <c:strRef>
              <c:f>'Forecasting for august month'!$D$1</c:f>
              <c:strCache>
                <c:ptCount val="1"/>
                <c:pt idx="0">
                  <c:v>Lower Confidence Bound(revenue)</c:v>
                </c:pt>
              </c:strCache>
            </c:strRef>
          </c:tx>
          <c:spPr>
            <a:ln w="12700" cap="rnd">
              <a:solidFill>
                <a:srgbClr val="C0504D"/>
              </a:solidFill>
              <a:prstDash val="solid"/>
              <a:round/>
            </a:ln>
            <a:effectLst/>
          </c:spPr>
          <c:marker>
            <c:symbol val="none"/>
          </c:marker>
          <c:cat>
            <c:numRef>
              <c:f>'Forecasting for august month'!$A$2:$A$14</c:f>
              <c:numCache>
                <c:formatCode>m/d/yyyy</c:formatCode>
                <c:ptCount val="13"/>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numCache>
            </c:numRef>
          </c:cat>
          <c:val>
            <c:numRef>
              <c:f>'Forecasting for august month'!$D$2:$D$14</c:f>
              <c:numCache>
                <c:formatCode>General</c:formatCode>
                <c:ptCount val="13"/>
                <c:pt idx="9" formatCode="0.00">
                  <c:v>1562.5</c:v>
                </c:pt>
                <c:pt idx="10" formatCode="0.00">
                  <c:v>542.02927059935678</c:v>
                </c:pt>
                <c:pt idx="11" formatCode="0.00">
                  <c:v>602.01687079450085</c:v>
                </c:pt>
                <c:pt idx="12" formatCode="0.00">
                  <c:v>662.00084045945891</c:v>
                </c:pt>
              </c:numCache>
            </c:numRef>
          </c:val>
          <c:smooth val="0"/>
          <c:extLst>
            <c:ext xmlns:c16="http://schemas.microsoft.com/office/drawing/2014/chart" uri="{C3380CC4-5D6E-409C-BE32-E72D297353CC}">
              <c16:uniqueId val="{00000002-DE42-4531-B930-688813204BD0}"/>
            </c:ext>
          </c:extLst>
        </c:ser>
        <c:ser>
          <c:idx val="3"/>
          <c:order val="3"/>
          <c:tx>
            <c:strRef>
              <c:f>'Forecasting for august month'!$E$1</c:f>
              <c:strCache>
                <c:ptCount val="1"/>
                <c:pt idx="0">
                  <c:v>Upper Confidence Bound(revenue)</c:v>
                </c:pt>
              </c:strCache>
            </c:strRef>
          </c:tx>
          <c:spPr>
            <a:ln w="12700" cap="rnd">
              <a:solidFill>
                <a:srgbClr val="C0504D"/>
              </a:solidFill>
              <a:prstDash val="solid"/>
              <a:round/>
            </a:ln>
            <a:effectLst/>
          </c:spPr>
          <c:marker>
            <c:symbol val="none"/>
          </c:marker>
          <c:cat>
            <c:numRef>
              <c:f>'Forecasting for august month'!$A$2:$A$14</c:f>
              <c:numCache>
                <c:formatCode>m/d/yyyy</c:formatCode>
                <c:ptCount val="13"/>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numCache>
            </c:numRef>
          </c:cat>
          <c:val>
            <c:numRef>
              <c:f>'Forecasting for august month'!$E$2:$E$14</c:f>
              <c:numCache>
                <c:formatCode>General</c:formatCode>
                <c:ptCount val="13"/>
                <c:pt idx="9" formatCode="0.00">
                  <c:v>1562.5</c:v>
                </c:pt>
                <c:pt idx="10" formatCode="0.00">
                  <c:v>2616.6522530842649</c:v>
                </c:pt>
                <c:pt idx="11" formatCode="0.00">
                  <c:v>2676.6491890618245</c:v>
                </c:pt>
                <c:pt idx="12" formatCode="0.00">
                  <c:v>2736.6497555695705</c:v>
                </c:pt>
              </c:numCache>
            </c:numRef>
          </c:val>
          <c:smooth val="0"/>
          <c:extLst>
            <c:ext xmlns:c16="http://schemas.microsoft.com/office/drawing/2014/chart" uri="{C3380CC4-5D6E-409C-BE32-E72D297353CC}">
              <c16:uniqueId val="{00000003-DE42-4531-B930-688813204BD0}"/>
            </c:ext>
          </c:extLst>
        </c:ser>
        <c:dLbls>
          <c:showLegendKey val="0"/>
          <c:showVal val="0"/>
          <c:showCatName val="0"/>
          <c:showSerName val="0"/>
          <c:showPercent val="0"/>
          <c:showBubbleSize val="0"/>
        </c:dLbls>
        <c:smooth val="0"/>
        <c:axId val="1039774800"/>
        <c:axId val="1039771920"/>
      </c:lineChart>
      <c:catAx>
        <c:axId val="10397748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71920"/>
        <c:crosses val="autoZero"/>
        <c:auto val="1"/>
        <c:lblAlgn val="ctr"/>
        <c:lblOffset val="100"/>
        <c:noMultiLvlLbl val="0"/>
      </c:catAx>
      <c:valAx>
        <c:axId val="103977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74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60960</xdr:colOff>
      <xdr:row>4</xdr:row>
      <xdr:rowOff>41910</xdr:rowOff>
    </xdr:from>
    <xdr:to>
      <xdr:col>29</xdr:col>
      <xdr:colOff>60960</xdr:colOff>
      <xdr:row>19</xdr:row>
      <xdr:rowOff>41910</xdr:rowOff>
    </xdr:to>
    <xdr:graphicFrame macro="">
      <xdr:nvGraphicFramePr>
        <xdr:cNvPr id="2" name="Chart 1">
          <a:extLst>
            <a:ext uri="{FF2B5EF4-FFF2-40B4-BE49-F238E27FC236}">
              <a16:creationId xmlns:a16="http://schemas.microsoft.com/office/drawing/2014/main" id="{707B09AA-4C73-87DC-144F-A90824DF0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22860</xdr:colOff>
      <xdr:row>12</xdr:row>
      <xdr:rowOff>83820</xdr:rowOff>
    </xdr:from>
    <xdr:to>
      <xdr:col>6</xdr:col>
      <xdr:colOff>175260</xdr:colOff>
      <xdr:row>25</xdr:row>
      <xdr:rowOff>173355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1966CC0-534D-9395-EA79-A1BB3C9EF2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75560" y="2278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0</xdr:colOff>
      <xdr:row>3</xdr:row>
      <xdr:rowOff>38100</xdr:rowOff>
    </xdr:from>
    <xdr:to>
      <xdr:col>48</xdr:col>
      <xdr:colOff>167640</xdr:colOff>
      <xdr:row>16</xdr:row>
      <xdr:rowOff>127635</xdr:rowOff>
    </xdr:to>
    <mc:AlternateContent xmlns:mc="http://schemas.openxmlformats.org/markup-compatibility/2006" xmlns:a14="http://schemas.microsoft.com/office/drawing/2010/main">
      <mc:Choice Requires="a14">
        <xdr:graphicFrame macro="">
          <xdr:nvGraphicFramePr>
            <xdr:cNvPr id="4" name="ProductName">
              <a:extLst>
                <a:ext uri="{FF2B5EF4-FFF2-40B4-BE49-F238E27FC236}">
                  <a16:creationId xmlns:a16="http://schemas.microsoft.com/office/drawing/2014/main" id="{68A79786-6B12-D321-6C99-DF69B0289682}"/>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168146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182880</xdr:colOff>
      <xdr:row>1</xdr:row>
      <xdr:rowOff>45720</xdr:rowOff>
    </xdr:from>
    <xdr:to>
      <xdr:col>39</xdr:col>
      <xdr:colOff>160020</xdr:colOff>
      <xdr:row>14</xdr:row>
      <xdr:rowOff>135255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4CA2BAB-CBFB-D7BE-D776-A3310B4EB9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120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6</xdr:row>
      <xdr:rowOff>41910</xdr:rowOff>
    </xdr:from>
    <xdr:to>
      <xdr:col>9</xdr:col>
      <xdr:colOff>152400</xdr:colOff>
      <xdr:row>21</xdr:row>
      <xdr:rowOff>41910</xdr:rowOff>
    </xdr:to>
    <xdr:graphicFrame macro="">
      <xdr:nvGraphicFramePr>
        <xdr:cNvPr id="2" name="Chart 1">
          <a:extLst>
            <a:ext uri="{FF2B5EF4-FFF2-40B4-BE49-F238E27FC236}">
              <a16:creationId xmlns:a16="http://schemas.microsoft.com/office/drawing/2014/main" id="{5CFF0297-6EA6-7E10-17D0-CA0D3B1E4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53340</xdr:colOff>
      <xdr:row>4</xdr:row>
      <xdr:rowOff>53340</xdr:rowOff>
    </xdr:from>
    <xdr:to>
      <xdr:col>14</xdr:col>
      <xdr:colOff>53340</xdr:colOff>
      <xdr:row>17</xdr:row>
      <xdr:rowOff>142875</xdr:rowOff>
    </xdr:to>
    <mc:AlternateContent xmlns:mc="http://schemas.openxmlformats.org/markup-compatibility/2006" xmlns:a14="http://schemas.microsoft.com/office/drawing/2010/main">
      <mc:Choice Requires="a14">
        <xdr:graphicFrame macro="">
          <xdr:nvGraphicFramePr>
            <xdr:cNvPr id="3" name="ProductName 1">
              <a:extLst>
                <a:ext uri="{FF2B5EF4-FFF2-40B4-BE49-F238E27FC236}">
                  <a16:creationId xmlns:a16="http://schemas.microsoft.com/office/drawing/2014/main" id="{D66F57FA-4E7F-F59A-5848-5D73BC2D5801}"/>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886206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464820</xdr:colOff>
      <xdr:row>1</xdr:row>
      <xdr:rowOff>87630</xdr:rowOff>
    </xdr:from>
    <xdr:to>
      <xdr:col>15</xdr:col>
      <xdr:colOff>160020</xdr:colOff>
      <xdr:row>16</xdr:row>
      <xdr:rowOff>87630</xdr:rowOff>
    </xdr:to>
    <xdr:graphicFrame macro="">
      <xdr:nvGraphicFramePr>
        <xdr:cNvPr id="2" name="Chart 1">
          <a:extLst>
            <a:ext uri="{FF2B5EF4-FFF2-40B4-BE49-F238E27FC236}">
              <a16:creationId xmlns:a16="http://schemas.microsoft.com/office/drawing/2014/main" id="{19710780-F5DE-CA07-F8D0-0D7A0BC18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xdr:colOff>
      <xdr:row>11</xdr:row>
      <xdr:rowOff>0</xdr:rowOff>
    </xdr:from>
    <xdr:to>
      <xdr:col>3</xdr:col>
      <xdr:colOff>411480</xdr:colOff>
      <xdr:row>24</xdr:row>
      <xdr:rowOff>89535</xdr:rowOff>
    </xdr:to>
    <mc:AlternateContent xmlns:mc="http://schemas.openxmlformats.org/markup-compatibility/2006" xmlns:a14="http://schemas.microsoft.com/office/drawing/2010/main">
      <mc:Choice Requires="a14">
        <xdr:graphicFrame macro="">
          <xdr:nvGraphicFramePr>
            <xdr:cNvPr id="4" name="ProductName 2">
              <a:extLst>
                <a:ext uri="{FF2B5EF4-FFF2-40B4-BE49-F238E27FC236}">
                  <a16:creationId xmlns:a16="http://schemas.microsoft.com/office/drawing/2014/main" id="{95356A45-4799-9C2A-56B2-08F66EEA7C1D}"/>
                </a:ext>
              </a:extLst>
            </xdr:cNvPr>
            <xdr:cNvGraphicFramePr/>
          </xdr:nvGraphicFramePr>
          <xdr:xfrm>
            <a:off x="0" y="0"/>
            <a:ext cx="0" cy="0"/>
          </xdr:xfrm>
          <a:graphic>
            <a:graphicData uri="http://schemas.microsoft.com/office/drawing/2010/slicer">
              <sle:slicer xmlns:sle="http://schemas.microsoft.com/office/drawing/2010/slicer" name="ProductName 2"/>
            </a:graphicData>
          </a:graphic>
        </xdr:graphicFrame>
      </mc:Choice>
      <mc:Fallback xmlns="">
        <xdr:sp macro="" textlink="">
          <xdr:nvSpPr>
            <xdr:cNvPr id="0" name=""/>
            <xdr:cNvSpPr>
              <a:spLocks noTextEdit="1"/>
            </xdr:cNvSpPr>
          </xdr:nvSpPr>
          <xdr:spPr>
            <a:xfrm>
              <a:off x="144780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17</xdr:row>
      <xdr:rowOff>175260</xdr:rowOff>
    </xdr:from>
    <xdr:to>
      <xdr:col>10</xdr:col>
      <xdr:colOff>510540</xdr:colOff>
      <xdr:row>25</xdr:row>
      <xdr:rowOff>83820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C54112BD-6B19-506F-48AA-3C6075E146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046220" y="32842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4</xdr:row>
      <xdr:rowOff>0</xdr:rowOff>
    </xdr:from>
    <xdr:to>
      <xdr:col>10</xdr:col>
      <xdr:colOff>312420</xdr:colOff>
      <xdr:row>16</xdr:row>
      <xdr:rowOff>83820</xdr:rowOff>
    </xdr:to>
    <xdr:graphicFrame macro="">
      <xdr:nvGraphicFramePr>
        <xdr:cNvPr id="2" name="Chart 1">
          <a:extLst>
            <a:ext uri="{FF2B5EF4-FFF2-40B4-BE49-F238E27FC236}">
              <a16:creationId xmlns:a16="http://schemas.microsoft.com/office/drawing/2014/main" id="{2AE974D6-4213-4DC4-A392-F50037ED7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xdr:rowOff>
    </xdr:from>
    <xdr:to>
      <xdr:col>3</xdr:col>
      <xdr:colOff>0</xdr:colOff>
      <xdr:row>10</xdr:row>
      <xdr:rowOff>83821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84406759-7681-431A-81D1-00C5684C80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01346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129541</xdr:rowOff>
    </xdr:from>
    <xdr:to>
      <xdr:col>3</xdr:col>
      <xdr:colOff>0</xdr:colOff>
      <xdr:row>16</xdr:row>
      <xdr:rowOff>15241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F8C22DF3-6B30-4195-AFEF-8FFA9FE847D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24028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320040</xdr:colOff>
      <xdr:row>9</xdr:row>
      <xdr:rowOff>121920</xdr:rowOff>
    </xdr:from>
    <xdr:to>
      <xdr:col>16</xdr:col>
      <xdr:colOff>22860</xdr:colOff>
      <xdr:row>21</xdr:row>
      <xdr:rowOff>152400</xdr:rowOff>
    </xdr:to>
    <xdr:graphicFrame macro="">
      <xdr:nvGraphicFramePr>
        <xdr:cNvPr id="5" name="Chart 4">
          <a:extLst>
            <a:ext uri="{FF2B5EF4-FFF2-40B4-BE49-F238E27FC236}">
              <a16:creationId xmlns:a16="http://schemas.microsoft.com/office/drawing/2014/main" id="{A4A6A93F-7DD9-40E5-9B7D-272FBB86A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320040</xdr:colOff>
      <xdr:row>3</xdr:row>
      <xdr:rowOff>167640</xdr:rowOff>
    </xdr:from>
    <xdr:to>
      <xdr:col>16</xdr:col>
      <xdr:colOff>0</xdr:colOff>
      <xdr:row>9</xdr:row>
      <xdr:rowOff>99060</xdr:rowOff>
    </xdr:to>
    <mc:AlternateContent xmlns:mc="http://schemas.openxmlformats.org/markup-compatibility/2006" xmlns:tsle="http://schemas.microsoft.com/office/drawing/2012/timeslicer">
      <mc:Choice Requires="tsle">
        <xdr:graphicFrame macro="">
          <xdr:nvGraphicFramePr>
            <xdr:cNvPr id="6" name="Date 2">
              <a:extLst>
                <a:ext uri="{FF2B5EF4-FFF2-40B4-BE49-F238E27FC236}">
                  <a16:creationId xmlns:a16="http://schemas.microsoft.com/office/drawing/2014/main" id="{BBBE4E3C-467F-42DA-88A1-5EB481133EF7}"/>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416040" y="998220"/>
              <a:ext cx="3337560" cy="1028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16</xdr:row>
      <xdr:rowOff>1</xdr:rowOff>
    </xdr:from>
    <xdr:to>
      <xdr:col>3</xdr:col>
      <xdr:colOff>0</xdr:colOff>
      <xdr:row>25</xdr:row>
      <xdr:rowOff>68581</xdr:rowOff>
    </xdr:to>
    <mc:AlternateContent xmlns:mc="http://schemas.openxmlformats.org/markup-compatibility/2006" xmlns:a14="http://schemas.microsoft.com/office/drawing/2010/main">
      <mc:Choice Requires="a14">
        <xdr:graphicFrame macro="">
          <xdr:nvGraphicFramePr>
            <xdr:cNvPr id="7" name="ProductName 3">
              <a:extLst>
                <a:ext uri="{FF2B5EF4-FFF2-40B4-BE49-F238E27FC236}">
                  <a16:creationId xmlns:a16="http://schemas.microsoft.com/office/drawing/2014/main" id="{9D6FA683-CF32-47C9-991C-91D4037A9669}"/>
                </a:ext>
              </a:extLst>
            </xdr:cNvPr>
            <xdr:cNvGraphicFramePr/>
          </xdr:nvGraphicFramePr>
          <xdr:xfrm>
            <a:off x="0" y="0"/>
            <a:ext cx="0" cy="0"/>
          </xdr:xfrm>
          <a:graphic>
            <a:graphicData uri="http://schemas.microsoft.com/office/drawing/2010/slicer">
              <sle:slicer xmlns:sle="http://schemas.microsoft.com/office/drawing/2010/slicer" name="ProductName 3"/>
            </a:graphicData>
          </a:graphic>
        </xdr:graphicFrame>
      </mc:Choice>
      <mc:Fallback xmlns="">
        <xdr:sp macro="" textlink="">
          <xdr:nvSpPr>
            <xdr:cNvPr id="0" name=""/>
            <xdr:cNvSpPr>
              <a:spLocks noTextEdit="1"/>
            </xdr:cNvSpPr>
          </xdr:nvSpPr>
          <xdr:spPr>
            <a:xfrm>
              <a:off x="0" y="320802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16</xdr:row>
      <xdr:rowOff>60960</xdr:rowOff>
    </xdr:from>
    <xdr:to>
      <xdr:col>10</xdr:col>
      <xdr:colOff>304800</xdr:colOff>
      <xdr:row>29</xdr:row>
      <xdr:rowOff>0</xdr:rowOff>
    </xdr:to>
    <xdr:graphicFrame macro="">
      <xdr:nvGraphicFramePr>
        <xdr:cNvPr id="8" name="Chart 7">
          <a:extLst>
            <a:ext uri="{FF2B5EF4-FFF2-40B4-BE49-F238E27FC236}">
              <a16:creationId xmlns:a16="http://schemas.microsoft.com/office/drawing/2014/main" id="{0B8C7A5D-CF0C-4546-94F6-9556FC10E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327660</xdr:colOff>
      <xdr:row>21</xdr:row>
      <xdr:rowOff>167640</xdr:rowOff>
    </xdr:from>
    <xdr:to>
      <xdr:col>16</xdr:col>
      <xdr:colOff>45720</xdr:colOff>
      <xdr:row>34</xdr:row>
      <xdr:rowOff>7620</xdr:rowOff>
    </xdr:to>
    <xdr:graphicFrame macro="">
      <xdr:nvGraphicFramePr>
        <xdr:cNvPr id="9" name="Chart 8">
          <a:extLst>
            <a:ext uri="{FF2B5EF4-FFF2-40B4-BE49-F238E27FC236}">
              <a16:creationId xmlns:a16="http://schemas.microsoft.com/office/drawing/2014/main" id="{BAF1A8EC-F1D4-437A-B1BF-90D0740F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167640</xdr:colOff>
      <xdr:row>2</xdr:row>
      <xdr:rowOff>118110</xdr:rowOff>
    </xdr:from>
    <xdr:to>
      <xdr:col>11</xdr:col>
      <xdr:colOff>487680</xdr:colOff>
      <xdr:row>17</xdr:row>
      <xdr:rowOff>118110</xdr:rowOff>
    </xdr:to>
    <xdr:graphicFrame macro="">
      <xdr:nvGraphicFramePr>
        <xdr:cNvPr id="2" name="Chart 1">
          <a:extLst>
            <a:ext uri="{FF2B5EF4-FFF2-40B4-BE49-F238E27FC236}">
              <a16:creationId xmlns:a16="http://schemas.microsoft.com/office/drawing/2014/main" id="{669EE978-C695-A7FD-BAD9-EB90D69E7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243840</xdr:colOff>
      <xdr:row>15</xdr:row>
      <xdr:rowOff>60960</xdr:rowOff>
    </xdr:from>
    <xdr:to>
      <xdr:col>4</xdr:col>
      <xdr:colOff>281940</xdr:colOff>
      <xdr:row>22</xdr:row>
      <xdr:rowOff>152400</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8D861300-F116-26BB-2E16-945FF329CED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3840" y="28041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114300</xdr:colOff>
      <xdr:row>6</xdr:row>
      <xdr:rowOff>41910</xdr:rowOff>
    </xdr:from>
    <xdr:to>
      <xdr:col>14</xdr:col>
      <xdr:colOff>177165</xdr:colOff>
      <xdr:row>26</xdr:row>
      <xdr:rowOff>51435</xdr:rowOff>
    </xdr:to>
    <xdr:graphicFrame macro="">
      <xdr:nvGraphicFramePr>
        <xdr:cNvPr id="2" name="Chart 1">
          <a:extLst>
            <a:ext uri="{FF2B5EF4-FFF2-40B4-BE49-F238E27FC236}">
              <a16:creationId xmlns:a16="http://schemas.microsoft.com/office/drawing/2014/main" id="{9469794E-08D1-1FBB-1C94-58D703D12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dan M" refreshedDate="45973.484091550927" createdVersion="8" refreshedVersion="8" minRefreshableVersion="3" recordCount="26" xr:uid="{ADAD96B6-5F97-40DD-9CFD-81B3F0BDD1AC}">
  <cacheSource type="worksheet">
    <worksheetSource name="sales"/>
  </cacheSource>
  <cacheFields count="6">
    <cacheField name="Date " numFmtId="14">
      <sharedItems containsSemiMixedTypes="0" containsNonDate="0" containsDate="1" containsString="0" minDate="2025-07-01T00:00:00" maxDate="2025-07-11T00:00:00"/>
    </cacheField>
    <cacheField name="ProductID" numFmtId="0">
      <sharedItems/>
    </cacheField>
    <cacheField name="StoreID" numFmtId="0">
      <sharedItems count="3">
        <s v="S1"/>
        <s v="S2"/>
        <s v="S3"/>
      </sharedItems>
    </cacheField>
    <cacheField name="Units" numFmtId="0">
      <sharedItems containsSemiMixedTypes="0" containsString="0" containsNumber="1" containsInteger="1" minValue="6" maxValue="59"/>
    </cacheField>
    <cacheField name="price" numFmtId="0">
      <sharedItems containsSemiMixedTypes="0" containsString="0" containsNumber="1" containsInteger="1" minValue="15" maxValue="220"/>
    </cacheField>
    <cacheField name="revenue" numFmtId="0">
      <sharedItems containsSemiMixedTypes="0" containsString="0" containsNumber="1" containsInteger="1" minValue="240" maxValue="44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kandan M" refreshedDate="45975.486017476855" backgroundQuery="1" createdVersion="8" refreshedVersion="8" minRefreshableVersion="3" recordCount="0" supportSubquery="1" supportAdvancedDrill="1" xr:uid="{11EA5CD4-41A9-417D-9E09-7CF3A1AF7228}">
  <cacheSource type="external" connectionId="1"/>
  <cacheFields count="3">
    <cacheField name="[Table_1].[Date].[Date]" caption="Date" numFmtId="0" hierarchy="12" level="1">
      <sharedItems containsSemiMixedTypes="0" containsNonDate="0" containsDate="1" containsString="0" minDate="2025-07-01T00:00:00" maxDate="2025-07-11T00:00:00" count="10">
        <d v="2025-07-01T00:00:00"/>
        <d v="2025-07-02T00:00:00"/>
        <d v="2025-07-03T00:00:00"/>
        <d v="2025-07-04T00:00:00"/>
        <d v="2025-07-05T00:00:00"/>
        <d v="2025-07-06T00:00:00"/>
        <d v="2025-07-07T00:00:00"/>
        <d v="2025-07-08T00:00:00"/>
        <d v="2025-07-09T00:00:00"/>
        <d v="2025-07-10T00:00:00"/>
      </sharedItems>
    </cacheField>
    <cacheField name="[Measures].[Average of revenue]" caption="Average of revenue" numFmtId="0" hierarchy="30" level="32767"/>
    <cacheField name="[Product].[Category].[Category]" caption="Category" numFmtId="0" hierarchy="2" level="1">
      <sharedItems containsSemiMixedTypes="0" containsNonDate="0" containsString="0"/>
    </cacheField>
  </cacheFields>
  <cacheHierarchies count="31">
    <cacheHierarchy uniqueName="[Product].[ProductID]" caption="ProductID" attribute="1" defaultMemberUniqueName="[Product].[ProductID].[All]" allUniqueName="[Product].[ProductID].[All]" dimensionUniqueName="[Product]"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caption="Price" attribute="1" defaultMemberUniqueName="[Product].[Price].[All]" allUniqueName="[Product].[Price].[All]" dimensionUniqueName="[Product]"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StoreID]" caption="StoreID" attribute="1" defaultMemberUniqueName="[sales].[StoreID].[All]" allUniqueName="[sales].[StoreID].[All]" dimensionUniqueName="[sales]" displayFolder="" count="2" memberValueDatatype="130" unbalanced="0"/>
    <cacheHierarchy uniqueName="[sales].[Units]" caption="Units" attribute="1" defaultMemberUniqueName="[sales].[Units].[All]" allUniqueName="[sales].[Units].[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130" unbalanced="0"/>
    <cacheHierarchy uniqueName="[store].[StoreID]" caption="StoreID" attribute="1" defaultMemberUniqueName="[store].[StoreID].[All]" allUniqueName="[store].[StoreID].[All]" dimensionUniqueName="[store]" displayFolder="" count="2" memberValueDatatype="130" unbalanced="0"/>
    <cacheHierarchy uniqueName="[store].[StoreName]" caption="StoreName" attribute="1" defaultMemberUniqueName="[store].[StoreName].[All]" allUniqueName="[store].[Store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Table_1].[Date]" caption="Date" attribute="1" time="1" defaultMemberUniqueName="[Table_1].[Date].[All]" allUniqueName="[Table_1].[Date].[All]" dimensionUniqueName="[Table_1]" displayFolder="" count="2" memberValueDatatype="7" unbalanced="0">
      <fieldsUsage count="2">
        <fieldUsage x="-1"/>
        <fieldUsage x="0"/>
      </fieldsUsage>
    </cacheHierarchy>
    <cacheHierarchy uniqueName="[Table_1].[ProductID]" caption="ProductID" attribute="1" defaultMemberUniqueName="[Table_1].[ProductID].[All]" allUniqueName="[Table_1].[ProductID].[All]" dimensionUniqueName="[Table_1]" displayFolder="" count="2" memberValueDatatype="130" unbalanced="0"/>
    <cacheHierarchy uniqueName="[Table_1].[StoreID]" caption="StoreID" attribute="1" defaultMemberUniqueName="[Table_1].[StoreID].[All]" allUniqueName="[Table_1].[StoreID].[All]" dimensionUniqueName="[Table_1]" displayFolder="" count="2" memberValueDatatype="130" unbalanced="0"/>
    <cacheHierarchy uniqueName="[Table_1].[Store cities]" caption="Store cities" attribute="1" defaultMemberUniqueName="[Table_1].[Store cities].[All]" allUniqueName="[Table_1].[Store cities].[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cacheHierarchy uniqueName="[Table_1].[Units]" caption="Units" attribute="1" defaultMemberUniqueName="[Table_1].[Units].[All]" allUniqueName="[Table_1].[Units].[All]" dimensionUniqueName="[Table_1]" displayFolder="" count="2" memberValueDatatype="20" unbalanced="0"/>
    <cacheHierarchy uniqueName="[Table_1].[price]" caption="price" attribute="1" defaultMemberUniqueName="[Table_1].[price].[All]" allUniqueName="[Table_1].[price].[All]" dimensionUniqueName="[Table_1]" displayFolder="" count="2" memberValueDatatype="20" unbalanced="0"/>
    <cacheHierarchy uniqueName="[Table_1].[revenue]" caption="revenue" attribute="1" defaultMemberUniqueName="[Table_1].[revenue].[All]" allUniqueName="[Table_1].[revenue].[All]" dimensionUniqueName="[Table_1]"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Table_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 uniqueName="[Product]" caption="Product"/>
    <dimension name="sales" uniqueName="[sales]" caption="sales"/>
    <dimension name="store" uniqueName="[store]" caption="store"/>
    <dimension name="Table_1" uniqueName="[Table_1]" caption="Table_1"/>
  </dimensions>
  <measureGroups count="4">
    <measureGroup name="Product" caption="Product"/>
    <measureGroup name="sales" caption="sales"/>
    <measureGroup name="store" caption="store"/>
    <measureGroup name="Table_1" caption="Table_1"/>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kandan M" refreshedDate="45975.486017939817" backgroundQuery="1" createdVersion="8" refreshedVersion="8" minRefreshableVersion="3" recordCount="0" supportSubquery="1" supportAdvancedDrill="1" xr:uid="{D58B3527-4EB1-43E9-B0A4-38E4A90434B3}">
  <cacheSource type="external" connectionId="1"/>
  <cacheFields count="4">
    <cacheField name="[Product].[ProductName].[ProductName]" caption="ProductName" numFmtId="0" hierarchy="1" level="1">
      <sharedItems count="5">
        <s v="Folder"/>
        <s v="Stapler"/>
        <s v="Marker" u="1"/>
        <s v="Notebook" u="1"/>
        <s v="Pen" u="1"/>
      </sharedItems>
    </cacheField>
    <cacheField name="[sales].[Date].[Date]" caption="Date" numFmtId="0" hierarchy="4" level="1">
      <sharedItems containsSemiMixedTypes="0" containsNonDate="0" containsDate="1" containsString="0" minDate="2025-07-02T00:00:00" maxDate="2025-07-11T00:00:00" count="6">
        <d v="2025-07-02T00:00:00"/>
        <d v="2025-07-03T00:00:00"/>
        <d v="2025-07-05T00:00:00"/>
        <d v="2025-07-07T00:00:00"/>
        <d v="2025-07-08T00:00:00"/>
        <d v="2025-07-10T00:00:00"/>
      </sharedItems>
    </cacheField>
    <cacheField name="[Measures].[Sum of Units]" caption="Sum of Units" numFmtId="0" hierarchy="27" level="32767"/>
    <cacheField name="[Product].[Category].[Category]" caption="Category" numFmtId="0" hierarchy="2" level="1">
      <sharedItems containsSemiMixedTypes="0" containsNonDate="0" containsString="0"/>
    </cacheField>
  </cacheFields>
  <cacheHierarchies count="31">
    <cacheHierarchy uniqueName="[Product].[ProductID]" caption="ProductID" attribute="1" defaultMemberUniqueName="[Product].[ProductID].[All]" allUniqueName="[Product].[ProductID].[All]" dimensionUniqueName="[Product]"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caption="Price" attribute="1" defaultMemberUniqueName="[Product].[Price].[All]" allUniqueName="[Product].[Price].[All]" dimensionUniqueName="[Product]" displayFolder="" count="2" memberValueDatatype="20" unbalanced="0"/>
    <cacheHierarchy uniqueName="[sales].[Date]" caption="Date" attribute="1" time="1" defaultMemberUniqueName="[sales].[Date].[All]" allUniqueName="[sales].[Date].[All]" dimensionUniqueName="[sales]" displayFolder="" count="2" memberValueDatatype="7" unbalanced="0">
      <fieldsUsage count="2">
        <fieldUsage x="-1"/>
        <fieldUsage x="1"/>
      </fieldsUsage>
    </cacheHierarchy>
    <cacheHierarchy uniqueName="[sales].[ProductID]" caption="ProductID" attribute="1" defaultMemberUniqueName="[sales].[ProductID].[All]" allUniqueName="[sales].[ProductID].[All]" dimensionUniqueName="[sales]" displayFolder="" count="2" memberValueDatatype="130" unbalanced="0"/>
    <cacheHierarchy uniqueName="[sales].[StoreID]" caption="StoreID" attribute="1" defaultMemberUniqueName="[sales].[StoreID].[All]" allUniqueName="[sales].[StoreID].[All]" dimensionUniqueName="[sales]" displayFolder="" count="2" memberValueDatatype="130" unbalanced="0"/>
    <cacheHierarchy uniqueName="[sales].[Units]" caption="Units" attribute="1" defaultMemberUniqueName="[sales].[Units].[All]" allUniqueName="[sales].[Units].[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130" unbalanced="0"/>
    <cacheHierarchy uniqueName="[store].[StoreID]" caption="StoreID" attribute="1" defaultMemberUniqueName="[store].[StoreID].[All]" allUniqueName="[store].[StoreID].[All]" dimensionUniqueName="[store]" displayFolder="" count="2" memberValueDatatype="130" unbalanced="0"/>
    <cacheHierarchy uniqueName="[store].[StoreName]" caption="StoreName" attribute="1" defaultMemberUniqueName="[store].[StoreName].[All]" allUniqueName="[store].[Store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Table_1].[Date]" caption="Date" attribute="1" time="1" defaultMemberUniqueName="[Table_1].[Date].[All]" allUniqueName="[Table_1].[Date].[All]" dimensionUniqueName="[Table_1]" displayFolder="" count="2" memberValueDatatype="7" unbalanced="0"/>
    <cacheHierarchy uniqueName="[Table_1].[ProductID]" caption="ProductID" attribute="1" defaultMemberUniqueName="[Table_1].[ProductID].[All]" allUniqueName="[Table_1].[ProductID].[All]" dimensionUniqueName="[Table_1]" displayFolder="" count="2" memberValueDatatype="130" unbalanced="0"/>
    <cacheHierarchy uniqueName="[Table_1].[StoreID]" caption="StoreID" attribute="1" defaultMemberUniqueName="[Table_1].[StoreID].[All]" allUniqueName="[Table_1].[StoreID].[All]" dimensionUniqueName="[Table_1]" displayFolder="" count="2" memberValueDatatype="130" unbalanced="0"/>
    <cacheHierarchy uniqueName="[Table_1].[Store cities]" caption="Store cities" attribute="1" defaultMemberUniqueName="[Table_1].[Store cities].[All]" allUniqueName="[Table_1].[Store cities].[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cacheHierarchy uniqueName="[Table_1].[Units]" caption="Units" attribute="1" defaultMemberUniqueName="[Table_1].[Units].[All]" allUniqueName="[Table_1].[Units].[All]" dimensionUniqueName="[Table_1]" displayFolder="" count="2" memberValueDatatype="20" unbalanced="0"/>
    <cacheHierarchy uniqueName="[Table_1].[price]" caption="price" attribute="1" defaultMemberUniqueName="[Table_1].[price].[All]" allUniqueName="[Table_1].[price].[All]" dimensionUniqueName="[Table_1]" displayFolder="" count="2" memberValueDatatype="20" unbalanced="0"/>
    <cacheHierarchy uniqueName="[Table_1].[revenue]" caption="revenue" attribute="1" defaultMemberUniqueName="[Table_1].[revenue].[All]" allUniqueName="[Table_1].[revenue].[All]" dimensionUniqueName="[Table_1]"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Units]" caption="Sum of Units" measure="1" displayFolder="" measureGroup="sale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Table_1"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 uniqueName="[Product]" caption="Product"/>
    <dimension name="sales" uniqueName="[sales]" caption="sales"/>
    <dimension name="store" uniqueName="[store]" caption="store"/>
    <dimension name="Table_1" uniqueName="[Table_1]" caption="Table_1"/>
  </dimensions>
  <measureGroups count="4">
    <measureGroup name="Product" caption="Product"/>
    <measureGroup name="sales" caption="sales"/>
    <measureGroup name="store" caption="store"/>
    <measureGroup name="Table_1" caption="Table_1"/>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kandan M" refreshedDate="45975.486018402778" backgroundQuery="1" createdVersion="8" refreshedVersion="8" minRefreshableVersion="3" recordCount="0" supportSubquery="1" supportAdvancedDrill="1" xr:uid="{FF3D303B-231C-4F3D-8BFB-23A127D9DEAF}">
  <cacheSource type="external" connectionId="1"/>
  <cacheFields count="3">
    <cacheField name="[Product].[ProductName].[ProductName]" caption="ProductName" numFmtId="0" hierarchy="1" level="1">
      <sharedItems count="4">
        <s v="Folder"/>
        <s v="Stapler"/>
        <s v="Marker" u="1"/>
        <s v="Notebook" u="1"/>
      </sharedItems>
    </cacheField>
    <cacheField name="[Measures].[Sum of revenue]" caption="Sum of revenue" numFmtId="0" hierarchy="29" level="32767"/>
    <cacheField name="[Product].[Category].[Category]" caption="Category" numFmtId="0" hierarchy="2" level="1">
      <sharedItems containsSemiMixedTypes="0" containsNonDate="0" containsString="0"/>
    </cacheField>
  </cacheFields>
  <cacheHierarchies count="31">
    <cacheHierarchy uniqueName="[Product].[ProductID]" caption="ProductID" attribute="1" defaultMemberUniqueName="[Product].[ProductID].[All]" allUniqueName="[Product].[ProductID].[All]" dimensionUniqueName="[Product]"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caption="Price" attribute="1" defaultMemberUniqueName="[Product].[Price].[All]" allUniqueName="[Product].[Price].[All]" dimensionUniqueName="[Product]"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StoreID]" caption="StoreID" attribute="1" defaultMemberUniqueName="[sales].[StoreID].[All]" allUniqueName="[sales].[StoreID].[All]" dimensionUniqueName="[sales]" displayFolder="" count="2" memberValueDatatype="130" unbalanced="0"/>
    <cacheHierarchy uniqueName="[sales].[Units]" caption="Units" attribute="1" defaultMemberUniqueName="[sales].[Units].[All]" allUniqueName="[sales].[Units].[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130" unbalanced="0"/>
    <cacheHierarchy uniqueName="[store].[StoreID]" caption="StoreID" attribute="1" defaultMemberUniqueName="[store].[StoreID].[All]" allUniqueName="[store].[StoreID].[All]" dimensionUniqueName="[store]" displayFolder="" count="2" memberValueDatatype="130" unbalanced="0"/>
    <cacheHierarchy uniqueName="[store].[StoreName]" caption="StoreName" attribute="1" defaultMemberUniqueName="[store].[StoreName].[All]" allUniqueName="[store].[Store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Table_1].[Date]" caption="Date" attribute="1" time="1" defaultMemberUniqueName="[Table_1].[Date].[All]" allUniqueName="[Table_1].[Date].[All]" dimensionUniqueName="[Table_1]" displayFolder="" count="2" memberValueDatatype="7" unbalanced="0"/>
    <cacheHierarchy uniqueName="[Table_1].[ProductID]" caption="ProductID" attribute="1" defaultMemberUniqueName="[Table_1].[ProductID].[All]" allUniqueName="[Table_1].[ProductID].[All]" dimensionUniqueName="[Table_1]" displayFolder="" count="2" memberValueDatatype="130" unbalanced="0"/>
    <cacheHierarchy uniqueName="[Table_1].[StoreID]" caption="StoreID" attribute="1" defaultMemberUniqueName="[Table_1].[StoreID].[All]" allUniqueName="[Table_1].[StoreID].[All]" dimensionUniqueName="[Table_1]" displayFolder="" count="2" memberValueDatatype="130" unbalanced="0"/>
    <cacheHierarchy uniqueName="[Table_1].[Store cities]" caption="Store cities" attribute="1" defaultMemberUniqueName="[Table_1].[Store cities].[All]" allUniqueName="[Table_1].[Store cities].[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cacheHierarchy uniqueName="[Table_1].[Units]" caption="Units" attribute="1" defaultMemberUniqueName="[Table_1].[Units].[All]" allUniqueName="[Table_1].[Units].[All]" dimensionUniqueName="[Table_1]" displayFolder="" count="2" memberValueDatatype="20" unbalanced="0"/>
    <cacheHierarchy uniqueName="[Table_1].[price]" caption="price" attribute="1" defaultMemberUniqueName="[Table_1].[price].[All]" allUniqueName="[Table_1].[price].[All]" dimensionUniqueName="[Table_1]" displayFolder="" count="2" memberValueDatatype="20" unbalanced="0"/>
    <cacheHierarchy uniqueName="[Table_1].[revenue]" caption="revenue" attribute="1" defaultMemberUniqueName="[Table_1].[revenue].[All]" allUniqueName="[Table_1].[revenue].[All]" dimensionUniqueName="[Table_1]"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Table_1"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 uniqueName="[Product]" caption="Product"/>
    <dimension name="sales" uniqueName="[sales]" caption="sales"/>
    <dimension name="store" uniqueName="[store]" caption="store"/>
    <dimension name="Table_1" uniqueName="[Table_1]" caption="Table_1"/>
  </dimensions>
  <measureGroups count="4">
    <measureGroup name="Product" caption="Product"/>
    <measureGroup name="sales" caption="sales"/>
    <measureGroup name="store" caption="store"/>
    <measureGroup name="Table_1" caption="Table_1"/>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kandan M" refreshedDate="45975.486019328702" backgroundQuery="1" createdVersion="8" refreshedVersion="8" minRefreshableVersion="3" recordCount="0" supportSubquery="1" supportAdvancedDrill="1" xr:uid="{86A35FD3-B366-4F2F-9B95-5A5D19331AB5}">
  <cacheSource type="external" connectionId="1"/>
  <cacheFields count="4">
    <cacheField name="[Product].[Category].[Category]" caption="Category" numFmtId="0" hierarchy="2" level="1">
      <sharedItems count="1">
        <s v="Office Supplies"/>
      </sharedItems>
    </cacheField>
    <cacheField name="[Product].[ProductName].[ProductName]" caption="ProductName" numFmtId="0" hierarchy="1" level="1">
      <sharedItems count="1">
        <s v="Folder"/>
      </sharedItems>
    </cacheField>
    <cacheField name="[store].[Region].[Region]" caption="Region" numFmtId="0" hierarchy="11" level="1">
      <sharedItems count="3">
        <s v="North"/>
        <s v="South"/>
        <s v="West"/>
      </sharedItems>
    </cacheField>
    <cacheField name="[Measures].[Sum of Units]" caption="Sum of Units" numFmtId="0" hierarchy="27" level="32767"/>
  </cacheFields>
  <cacheHierarchies count="31">
    <cacheHierarchy uniqueName="[Product].[ProductID]" caption="ProductID" attribute="1" defaultMemberUniqueName="[Product].[ProductID].[All]" allUniqueName="[Product].[ProductID].[All]" dimensionUniqueName="[Product]"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caption="Price" attribute="1" defaultMemberUniqueName="[Product].[Price].[All]" allUniqueName="[Product].[Price].[All]" dimensionUniqueName="[Product]"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StoreID]" caption="StoreID" attribute="1" defaultMemberUniqueName="[sales].[StoreID].[All]" allUniqueName="[sales].[StoreID].[All]" dimensionUniqueName="[sales]" displayFolder="" count="2" memberValueDatatype="130" unbalanced="0"/>
    <cacheHierarchy uniqueName="[sales].[Units]" caption="Units" attribute="1" defaultMemberUniqueName="[sales].[Units].[All]" allUniqueName="[sales].[Units].[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130" unbalanced="0"/>
    <cacheHierarchy uniqueName="[store].[StoreID]" caption="StoreID" attribute="1" defaultMemberUniqueName="[store].[StoreID].[All]" allUniqueName="[store].[StoreID].[All]" dimensionUniqueName="[store]" displayFolder="" count="2" memberValueDatatype="130" unbalanced="0"/>
    <cacheHierarchy uniqueName="[store].[StoreName]" caption="StoreName" attribute="1" defaultMemberUniqueName="[store].[StoreName].[All]" allUniqueName="[store].[Store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2"/>
      </fieldsUsage>
    </cacheHierarchy>
    <cacheHierarchy uniqueName="[Table_1].[Date]" caption="Date" attribute="1" time="1" defaultMemberUniqueName="[Table_1].[Date].[All]" allUniqueName="[Table_1].[Date].[All]" dimensionUniqueName="[Table_1]" displayFolder="" count="2" memberValueDatatype="7" unbalanced="0"/>
    <cacheHierarchy uniqueName="[Table_1].[ProductID]" caption="ProductID" attribute="1" defaultMemberUniqueName="[Table_1].[ProductID].[All]" allUniqueName="[Table_1].[ProductID].[All]" dimensionUniqueName="[Table_1]" displayFolder="" count="2" memberValueDatatype="130" unbalanced="0"/>
    <cacheHierarchy uniqueName="[Table_1].[StoreID]" caption="StoreID" attribute="1" defaultMemberUniqueName="[Table_1].[StoreID].[All]" allUniqueName="[Table_1].[StoreID].[All]" dimensionUniqueName="[Table_1]" displayFolder="" count="2" memberValueDatatype="130" unbalanced="0"/>
    <cacheHierarchy uniqueName="[Table_1].[Store cities]" caption="Store cities" attribute="1" defaultMemberUniqueName="[Table_1].[Store cities].[All]" allUniqueName="[Table_1].[Store cities].[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cacheHierarchy uniqueName="[Table_1].[Units]" caption="Units" attribute="1" defaultMemberUniqueName="[Table_1].[Units].[All]" allUniqueName="[Table_1].[Units].[All]" dimensionUniqueName="[Table_1]" displayFolder="" count="2" memberValueDatatype="20" unbalanced="0"/>
    <cacheHierarchy uniqueName="[Table_1].[price]" caption="price" attribute="1" defaultMemberUniqueName="[Table_1].[price].[All]" allUniqueName="[Table_1].[price].[All]" dimensionUniqueName="[Table_1]" displayFolder="" count="2" memberValueDatatype="20" unbalanced="0"/>
    <cacheHierarchy uniqueName="[Table_1].[revenue]" caption="revenue" attribute="1" defaultMemberUniqueName="[Table_1].[revenue].[All]" allUniqueName="[Table_1].[revenue].[All]" dimensionUniqueName="[Table_1]"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Units]" caption="Sum of Units" measure="1" displayFolder="" measureGroup="sale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Table_1"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Product" uniqueName="[Product]" caption="Product"/>
    <dimension name="sales" uniqueName="[sales]" caption="sales"/>
    <dimension name="store" uniqueName="[store]" caption="store"/>
    <dimension name="Table_1" uniqueName="[Table_1]" caption="Table_1"/>
  </dimensions>
  <measureGroups count="4">
    <measureGroup name="Product" caption="Product"/>
    <measureGroup name="sales" caption="sales"/>
    <measureGroup name="store" caption="store"/>
    <measureGroup name="Table_1" caption="Table_1"/>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kandan M" refreshedDate="45975.460228819444" backgroundQuery="1" createdVersion="3" refreshedVersion="8" minRefreshableVersion="3" recordCount="0" supportSubquery="1" supportAdvancedDrill="1" xr:uid="{4DA197E0-94BC-4459-B46C-4789C45EF4D3}">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caption="Price" attribute="1" defaultMemberUniqueName="[Product].[Price].[All]" allUniqueName="[Product].[Price].[All]" dimensionUniqueName="[Product]"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StoreID]" caption="StoreID" attribute="1" defaultMemberUniqueName="[sales].[StoreID].[All]" allUniqueName="[sales].[StoreID].[All]" dimensionUniqueName="[sales]" displayFolder="" count="0" memberValueDatatype="130" unbalanced="0"/>
    <cacheHierarchy uniqueName="[sales].[Units]" caption="Units" attribute="1" defaultMemberUniqueName="[sales].[Units].[All]" allUniqueName="[sales].[Units].[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130" unbalanced="0"/>
    <cacheHierarchy uniqueName="[store].[StoreID]" caption="StoreID" attribute="1" defaultMemberUniqueName="[store].[StoreID].[All]" allUniqueName="[store].[StoreID].[All]" dimensionUniqueName="[store]" displayFolder="" count="0" memberValueDatatype="130" unbalanced="0"/>
    <cacheHierarchy uniqueName="[store].[StoreName]" caption="StoreName" attribute="1" defaultMemberUniqueName="[store].[StoreName].[All]" allUniqueName="[store].[StoreName].[All]" dimensionUniqueName="[store]" displayFolder="" count="0" memberValueDatatype="130" unbalanced="0"/>
    <cacheHierarchy uniqueName="[store].[Region]" caption="Region" attribute="1" defaultMemberUniqueName="[store].[Region].[All]" allUniqueName="[store].[Region].[All]" dimensionUniqueName="[store]" displayFolder="" count="2" memberValueDatatype="130" unbalanced="0"/>
    <cacheHierarchy uniqueName="[Table_1].[Date]" caption="Date" attribute="1" time="1" defaultMemberUniqueName="[Table_1].[Date].[All]" allUniqueName="[Table_1].[Date].[All]" dimensionUniqueName="[Table_1]" displayFolder="" count="0" memberValueDatatype="7" unbalanced="0"/>
    <cacheHierarchy uniqueName="[Table_1].[ProductID]" caption="ProductID" attribute="1" defaultMemberUniqueName="[Table_1].[ProductID].[All]" allUniqueName="[Table_1].[ProductID].[All]" dimensionUniqueName="[Table_1]" displayFolder="" count="0" memberValueDatatype="130" unbalanced="0"/>
    <cacheHierarchy uniqueName="[Table_1].[StoreID]" caption="StoreID" attribute="1" defaultMemberUniqueName="[Table_1].[StoreID].[All]" allUniqueName="[Table_1].[StoreID].[All]" dimensionUniqueName="[Table_1]" displayFolder="" count="0" memberValueDatatype="130" unbalanced="0"/>
    <cacheHierarchy uniqueName="[Table_1].[Store cities]" caption="Store cities" attribute="1" defaultMemberUniqueName="[Table_1].[Store cities].[All]" allUniqueName="[Table_1].[Store cities].[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Units]" caption="Units" attribute="1" defaultMemberUniqueName="[Table_1].[Units].[All]" allUniqueName="[Table_1].[Units].[All]" dimensionUniqueName="[Table_1]" displayFolder="" count="0" memberValueDatatype="20" unbalanced="0"/>
    <cacheHierarchy uniqueName="[Table_1].[price]" caption="price" attribute="1" defaultMemberUniqueName="[Table_1].[price].[All]" allUniqueName="[Table_1].[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Table_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09718175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kandan M" refreshedDate="45975.472563310184" backgroundQuery="1" createdVersion="3" refreshedVersion="8" minRefreshableVersion="3" recordCount="0" supportSubquery="1" supportAdvancedDrill="1" xr:uid="{837E9DB3-A57F-4B42-BFA8-04C589370B1B}">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StoreID]" caption="StoreID" attribute="1" defaultMemberUniqueName="[sales].[StoreID].[All]" allUniqueName="[sales].[StoreID].[All]" dimensionUniqueName="[sales]" displayFolder="" count="0" memberValueDatatype="130" unbalanced="0"/>
    <cacheHierarchy uniqueName="[sales].[Units]" caption="Units" attribute="1" defaultMemberUniqueName="[sales].[Units].[All]" allUniqueName="[sales].[Units].[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130" unbalanced="0"/>
    <cacheHierarchy uniqueName="[store].[StoreID]" caption="StoreID" attribute="1" defaultMemberUniqueName="[store].[StoreID].[All]" allUniqueName="[store].[StoreID].[All]" dimensionUniqueName="[store]" displayFolder="" count="0" memberValueDatatype="130" unbalanced="0"/>
    <cacheHierarchy uniqueName="[store].[StoreName]" caption="StoreName" attribute="1" defaultMemberUniqueName="[store].[StoreName].[All]" allUniqueName="[store].[Store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Table_1].[Date]" caption="Date" attribute="1" time="1" defaultMemberUniqueName="[Table_1].[Date].[All]" allUniqueName="[Table_1].[Date].[All]" dimensionUniqueName="[Table_1]" displayFolder="" count="2" memberValueDatatype="7" unbalanced="0"/>
    <cacheHierarchy uniqueName="[Table_1].[ProductID]" caption="ProductID" attribute="1" defaultMemberUniqueName="[Table_1].[ProductID].[All]" allUniqueName="[Table_1].[ProductID].[All]" dimensionUniqueName="[Table_1]" displayFolder="" count="0" memberValueDatatype="130" unbalanced="0"/>
    <cacheHierarchy uniqueName="[Table_1].[StoreID]" caption="StoreID" attribute="1" defaultMemberUniqueName="[Table_1].[StoreID].[All]" allUniqueName="[Table_1].[StoreID].[All]" dimensionUniqueName="[Table_1]" displayFolder="" count="0" memberValueDatatype="130" unbalanced="0"/>
    <cacheHierarchy uniqueName="[Table_1].[Store cities]" caption="Store cities" attribute="1" defaultMemberUniqueName="[Table_1].[Store cities].[All]" allUniqueName="[Table_1].[Store cities].[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Units]" caption="Units" attribute="1" defaultMemberUniqueName="[Table_1].[Units].[All]" allUniqueName="[Table_1].[Units].[All]" dimensionUniqueName="[Table_1]" displayFolder="" count="0" memberValueDatatype="20" unbalanced="0"/>
    <cacheHierarchy uniqueName="[Table_1].[price]" caption="price" attribute="1" defaultMemberUniqueName="[Table_1].[price].[All]" allUniqueName="[Table_1].[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Units]" caption="Sum of Units" measure="1" displayFolder="" measureGroup="sale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sale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Table_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0719233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25-07-01T00:00:00"/>
    <s v="P101"/>
    <x v="0"/>
    <n v="12"/>
    <n v="120"/>
    <n v="1440"/>
  </r>
  <r>
    <d v="2025-07-01T00:00:00"/>
    <s v="P102"/>
    <x v="1"/>
    <n v="35"/>
    <n v="15"/>
    <n v="525"/>
  </r>
  <r>
    <d v="2025-07-02T00:00:00"/>
    <s v="P103"/>
    <x v="2"/>
    <n v="8"/>
    <n v="220"/>
    <n v="1760"/>
  </r>
  <r>
    <d v="2025-07-02T00:00:00"/>
    <s v="P104"/>
    <x v="0"/>
    <n v="22"/>
    <n v="30"/>
    <n v="660"/>
  </r>
  <r>
    <d v="2025-07-03T00:00:00"/>
    <s v="P105"/>
    <x v="1"/>
    <n v="15"/>
    <n v="50"/>
    <n v="750"/>
  </r>
  <r>
    <d v="2025-07-03T00:00:00"/>
    <s v="P101"/>
    <x v="2"/>
    <n v="18"/>
    <n v="120"/>
    <n v="2160"/>
  </r>
  <r>
    <d v="2025-07-04T00:00:00"/>
    <s v="P102"/>
    <x v="0"/>
    <n v="40"/>
    <n v="15"/>
    <n v="600"/>
  </r>
  <r>
    <d v="2025-07-04T00:00:00"/>
    <s v="P104"/>
    <x v="1"/>
    <n v="10"/>
    <n v="30"/>
    <n v="300"/>
  </r>
  <r>
    <d v="2025-07-05T00:00:00"/>
    <s v="P103"/>
    <x v="2"/>
    <n v="6"/>
    <n v="220"/>
    <n v="1320"/>
  </r>
  <r>
    <d v="2025-07-05T00:00:00"/>
    <s v="P105"/>
    <x v="0"/>
    <n v="25"/>
    <n v="50"/>
    <n v="1250"/>
  </r>
  <r>
    <d v="2025-07-06T00:00:00"/>
    <s v="P101"/>
    <x v="1"/>
    <n v="30"/>
    <n v="120"/>
    <n v="3600"/>
  </r>
  <r>
    <d v="2025-07-06T00:00:00"/>
    <s v="P102"/>
    <x v="2"/>
    <n v="28"/>
    <n v="15"/>
    <n v="420"/>
  </r>
  <r>
    <d v="2025-07-07T00:00:00"/>
    <s v="P104"/>
    <x v="0"/>
    <n v="12"/>
    <n v="30"/>
    <n v="360"/>
  </r>
  <r>
    <d v="2025-07-07T00:00:00"/>
    <s v="P103"/>
    <x v="1"/>
    <n v="20"/>
    <n v="220"/>
    <n v="4400"/>
  </r>
  <r>
    <d v="2025-07-08T00:00:00"/>
    <s v="P105"/>
    <x v="2"/>
    <n v="14"/>
    <n v="50"/>
    <n v="700"/>
  </r>
  <r>
    <d v="2025-07-08T00:00:00"/>
    <s v="P101"/>
    <x v="0"/>
    <n v="16"/>
    <n v="120"/>
    <n v="1920"/>
  </r>
  <r>
    <d v="2025-07-09T00:00:00"/>
    <s v="P102"/>
    <x v="1"/>
    <n v="50"/>
    <n v="15"/>
    <n v="750"/>
  </r>
  <r>
    <d v="2025-07-09T00:00:00"/>
    <s v="P104"/>
    <x v="2"/>
    <n v="8"/>
    <n v="30"/>
    <n v="240"/>
  </r>
  <r>
    <d v="2025-07-10T00:00:00"/>
    <s v="P103"/>
    <x v="0"/>
    <n v="11"/>
    <n v="220"/>
    <n v="2420"/>
  </r>
  <r>
    <d v="2025-07-10T00:00:00"/>
    <s v="P105"/>
    <x v="1"/>
    <n v="19"/>
    <n v="50"/>
    <n v="950"/>
  </r>
  <r>
    <d v="2025-07-08T00:00:00"/>
    <s v="P101"/>
    <x v="2"/>
    <n v="14"/>
    <n v="120"/>
    <n v="1680"/>
  </r>
  <r>
    <d v="2025-07-08T00:00:00"/>
    <s v="P105"/>
    <x v="0"/>
    <n v="45"/>
    <n v="50"/>
    <n v="2250"/>
  </r>
  <r>
    <d v="2025-07-09T00:00:00"/>
    <s v="P104"/>
    <x v="1"/>
    <n v="59"/>
    <n v="30"/>
    <n v="1770"/>
  </r>
  <r>
    <d v="2025-07-09T00:00:00"/>
    <s v="P102"/>
    <x v="2"/>
    <n v="26"/>
    <n v="15"/>
    <n v="390"/>
  </r>
  <r>
    <d v="2025-07-10T00:00:00"/>
    <s v="P104"/>
    <x v="0"/>
    <n v="16"/>
    <n v="30"/>
    <n v="480"/>
  </r>
  <r>
    <d v="2025-07-10T00:00:00"/>
    <s v="P101"/>
    <x v="1"/>
    <n v="20"/>
    <n v="120"/>
    <n v="2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74789-F84D-41DE-9BB5-BFFB73180300}" name="PivotTable1" cacheId="4" applyNumberFormats="0" applyBorderFormats="0" applyFontFormats="0" applyPatternFormats="0" applyAlignmentFormats="0" applyWidthHeightFormats="1" dataCaption="Values" tag="b75571f6-a604-487b-92a0-40a702bfe209" updatedVersion="8" minRefreshableVersion="3" useAutoFormatting="1" itemPrintTitles="1" createdVersion="8" indent="0" outline="1" outlineData="1" multipleFieldFilters="0" chartFormat="5" rowHeaderCaption="Product " colHeaderCaption="Region">
  <location ref="A3:E7" firstHeaderRow="1" firstDataRow="2"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3">
    <i>
      <x/>
    </i>
    <i r="1">
      <x/>
    </i>
    <i t="grand">
      <x/>
    </i>
  </rowItems>
  <colFields count="1">
    <field x="2"/>
  </colFields>
  <colItems count="4">
    <i>
      <x/>
    </i>
    <i>
      <x v="1"/>
    </i>
    <i>
      <x v="2"/>
    </i>
    <i t="grand">
      <x/>
    </i>
  </colItems>
  <dataFields count="1">
    <dataField name="Product vs unit sold across region" fld="3"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Hierarchies count="31">
    <pivotHierarchy dragToData="1"/>
    <pivotHierarchy multipleItemSelectionAllowed="1" dragToData="1">
      <members count="2" level="1">
        <member name=""/>
        <member name="[Product].[ProductName].&amp;[Marke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roduct vs unit sold across region"/>
    <pivotHierarchy dragToData="1"/>
    <pivotHierarchy dragToData="1"/>
    <pivotHierarchy dragToData="1"/>
  </pivotHierarchies>
  <pivotTableStyleInfo showRowHeaders="1" showColHeaders="1" showRowStripes="0" showColStripes="0" showLastColumn="1"/>
  <rowHierarchiesUsage count="2">
    <rowHierarchyUsage hierarchyUsage="2"/>
    <rowHierarchyUsage hierarchyUsage="1"/>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BB6EA-969C-4D6A-BFF8-D5B398CE4D08}" name="PivotTable3" cacheId="3" applyNumberFormats="0" applyBorderFormats="0" applyFontFormats="0" applyPatternFormats="0" applyAlignmentFormats="0" applyWidthHeightFormats="1" dataCaption="Values" tag="8406c061-87ef-456e-a923-0ccb0e691e11" updatedVersion="8" minRefreshableVersion="3" useAutoFormatting="1" itemPrintTitles="1" createdVersion="8" indent="0" outline="1" outlineData="1" multipleFieldFilters="0" chartFormat="15" rowHeaderCaption="Product name">
  <location ref="A3: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revenue" fld="1" baseField="0" baseItem="0"/>
  </dataFields>
  <chartFormats count="8">
    <chartFormat chart="4"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2"/>
          </reference>
        </references>
      </pivotArea>
    </chartFormat>
    <chartFormat chart="14" format="7">
      <pivotArea type="data" outline="0" fieldPosition="0">
        <references count="2">
          <reference field="4294967294" count="1" selected="0">
            <x v="0"/>
          </reference>
          <reference field="0" count="1" selected="0">
            <x v="3"/>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multipleItemSelectionAllowed="1" dragToData="1"/>
    <pivotHierarchy multipleItemSelectionAllowed="1" dragToData="1">
      <members count="1" level="1">
        <member name="[Product].[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ies>
  <pivotTableStyleInfo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EDC59-D041-40A0-94C1-95C8B8B6733E}" name="PivotTable4" cacheId="2" applyNumberFormats="0" applyBorderFormats="0" applyFontFormats="0" applyPatternFormats="0" applyAlignmentFormats="0" applyWidthHeightFormats="1" dataCaption="Values" tag="102bd18c-7fbf-4335-9657-55915c86c8d7" updatedVersion="8" minRefreshableVersion="5" useAutoFormatting="1" itemPrintTitles="1" createdVersion="8" indent="0" outline="1" outlineData="1" multipleFieldFilters="0" chartFormat="4" colHeaderCaption="Product name">
  <location ref="A3:D1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3">
    <i>
      <x/>
    </i>
    <i>
      <x v="1"/>
    </i>
    <i t="grand">
      <x/>
    </i>
  </colItems>
  <dataFields count="1">
    <dataField name="Total unit sold datewise" fld="2"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4"/>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2"/>
          </reference>
        </references>
      </pivotArea>
    </chartFormat>
    <chartFormat chart="3" format="12" series="1">
      <pivotArea type="data" outline="0" fieldPosition="0">
        <references count="2">
          <reference field="4294967294" count="1" selected="0">
            <x v="0"/>
          </reference>
          <reference field="0" count="1" selected="0">
            <x v="3"/>
          </reference>
        </references>
      </pivotArea>
    </chartFormat>
    <chartFormat chart="3" format="13" series="1">
      <pivotArea type="data" outline="0" fieldPosition="0">
        <references count="2">
          <reference field="4294967294" count="1" selected="0">
            <x v="0"/>
          </reference>
          <reference field="0" count="1" selected="0">
            <x v="4"/>
          </reference>
        </references>
      </pivotArea>
    </chartFormat>
    <chartFormat chart="3" format="14" series="1">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multipleItemSelectionAllowed="1" dragToData="1"/>
    <pivotHierarchy multipleItemSelectionAllowed="1" dragToData="1">
      <members count="1" level="1">
        <member name="[Product].[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unit sold datewise"/>
    <pivotHierarchy dragToData="1"/>
    <pivotHierarchy dragToData="1"/>
    <pivotHierarchy dragToData="1"/>
  </pivotHierarchies>
  <pivotTableStyleInfo showRowHeaders="1" showColHeaders="1" showRowStripes="0" showColStripes="0" showLastColumn="1"/>
  <filters count="1">
    <filter fld="1" type="dateBetween" evalOrder="-1" id="28" name="[sales].[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B17FEA-C844-4102-9F80-18202DE3E9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ref="A3:B7" firstHeaderRow="1" firstDataRow="1" firstDataCol="1"/>
  <pivotFields count="6">
    <pivotField numFmtId="14" showAll="0"/>
    <pivotField showAll="0"/>
    <pivotField axis="axisRow" showAll="0">
      <items count="4">
        <item x="0"/>
        <item x="1"/>
        <item x="2"/>
        <item t="default"/>
      </items>
    </pivotField>
    <pivotField showAll="0"/>
    <pivotField showAll="0"/>
    <pivotField dataField="1" showAll="0"/>
  </pivotFields>
  <rowFields count="1">
    <field x="2"/>
  </rowFields>
  <rowItems count="4">
    <i>
      <x/>
    </i>
    <i>
      <x v="1"/>
    </i>
    <i>
      <x v="2"/>
    </i>
    <i t="grand">
      <x/>
    </i>
  </rowItems>
  <colItems count="1">
    <i/>
  </colItems>
  <dataFields count="1">
    <dataField name="Sum of revenue" fld="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A96891-FA71-4DCB-9E27-452F28AEAC1B}" name="PivotTable7" cacheId="1" applyNumberFormats="0" applyBorderFormats="0" applyFontFormats="0" applyPatternFormats="0" applyAlignmentFormats="0" applyWidthHeightFormats="1" dataCaption="Values" tag="7cafcfd5-81eb-469b-920b-f74ade3a8526" updatedVersion="8" minRefreshableVersion="5" useAutoFormatting="1" itemPrintTitles="1" createdVersion="8" indent="0" outline="1" outlineData="1" multipleFieldFilters="0" chartFormat="3" rowHeaderCaption="date">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revenue" fld="1"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multipleItemSelectionAllowed="1" dragToData="1">
      <members count="1" level="1">
        <member name="[Product].[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ies>
  <pivotTableStyleInfo showRowHeaders="1" showColHeaders="1" showRowStripes="0" showColStripes="0" showLastColumn="1"/>
  <filters count="1">
    <filter fld="0" type="dateBetween" evalOrder="-1" id="5" name="[Table_1].[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8541ED-2DE6-487A-B00F-BC5FE80FA9A3}" sourceName="[Product].[Category]">
  <pivotTables>
    <pivotTable tabId="5" name="PivotTable1"/>
    <pivotTable tabId="10" name="PivotTable7"/>
    <pivotTable tabId="8" name="PivotTable4"/>
    <pivotTable tabId="7" name="PivotTable3"/>
  </pivotTables>
  <data>
    <olap pivotCacheId="2097181759">
      <levels count="2">
        <level uniqueName="[Product].[Category].[(All)]" sourceCaption="(All)" count="0"/>
        <level uniqueName="[Product].[Category].[Category]" sourceCaption="Category" count="2">
          <ranges>
            <range startItem="0">
              <i n="[Product].[Category].&amp;[Office Supplies]" c="Office Supplies"/>
              <i n="[Product].[Category].&amp;[Stationery]" c="Stationery"/>
            </range>
          </ranges>
        </level>
      </levels>
      <selections count="1">
        <selection n="[Product].[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38EF66F0-FB97-47AC-8E66-680E726509B5}" sourceName="[Product].[ProductName]">
  <pivotTables>
    <pivotTable tabId="5" name="PivotTable1"/>
  </pivotTables>
  <data>
    <olap pivotCacheId="2097181759">
      <levels count="2">
        <level uniqueName="[Product].[ProductName].[(All)]" sourceCaption="(All)" count="0"/>
        <level uniqueName="[Product].[ProductName].[ProductName]" sourceCaption="ProductName" count="5">
          <ranges>
            <range startItem="0">
              <i n="[Product].[ProductName].&amp;[Folder]" c="Folder"/>
              <i n="[Product].[ProductName].&amp;[Stapler]" c="Stapler"/>
              <i n="[Product].[ProductName].&amp;[Marker]" c="Marker" nd="1"/>
              <i n="[Product].[ProductName].&amp;[Notebook]" c="Notebook" nd="1"/>
              <i n="[Product].[ProductName].&amp;[Pen]" c="Pen" nd="1"/>
            </range>
          </ranges>
        </level>
      </levels>
      <selections count="2">
        <selection n="[Product].[ProductName].&amp;[Folder]"/>
        <selection n="[Product].[ProductName].&amp;[Marke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E5BC0EE-E2C9-4062-9987-D8B1254DDF0C}" sourceName="[store].[Region]">
  <pivotTables>
    <pivotTable tabId="5" name="PivotTable1"/>
  </pivotTables>
  <data>
    <olap pivotCacheId="2097181759">
      <levels count="2">
        <level uniqueName="[store].[Region].[(All)]" sourceCaption="(All)" count="0"/>
        <level uniqueName="[store].[Region].[Region]" sourceCaption="Region" count="3">
          <ranges>
            <range startItem="0">
              <i n="[store].[Region].&amp;[North]" c="North"/>
              <i n="[store].[Region].&amp;[South]" c="South"/>
              <i n="[store].[Region].&amp;[West]" c="West"/>
            </range>
          </ranges>
        </level>
      </levels>
      <selections count="1">
        <selection n="[stor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2" xr10:uid="{8F8E3F98-9C2D-4555-9728-B3DA5816B7EE}" sourceName="[Product].[ProductName]">
  <pivotTables>
    <pivotTable tabId="8" name="PivotTable4"/>
    <pivotTable tabId="10" name="PivotTable7"/>
    <pivotTable tabId="7" name="PivotTable3"/>
  </pivotTables>
  <data>
    <olap pivotCacheId="2097181759">
      <levels count="2">
        <level uniqueName="[Product].[ProductName].[(All)]" sourceCaption="(All)" count="0"/>
        <level uniqueName="[Product].[ProductName].[ProductName]" sourceCaption="ProductName" count="5">
          <ranges>
            <range startItem="0">
              <i n="[Product].[ProductName].&amp;[Folder]" c="Folder"/>
              <i n="[Product].[ProductName].&amp;[Stapler]" c="Stapler"/>
              <i n="[Product].[ProductName].&amp;[Marker]" c="Marker" nd="1"/>
              <i n="[Product].[ProductName].&amp;[Notebook]" c="Notebook" nd="1"/>
              <i n="[Product].[ProductName].&amp;[Pen]" c="Pen" nd="1"/>
            </range>
          </ranges>
        </level>
      </levels>
      <selections count="1">
        <selection n="[Product].[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F28D145-427B-4BD2-8266-A165F321966B}" cache="Slicer_Category" caption="Category" level="1" rowHeight="234950"/>
  <slicer name="ProductName" xr10:uid="{C52D6387-ACCA-46AB-8F26-8423368C8B39}" cache="Slicer_ProductName" caption="ProductName" level="1" rowHeight="234950"/>
  <slicer name="Region" xr10:uid="{5D8DA293-9528-4BD8-8750-22589358F5A0}" cache="Slicer_Region1"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DBFE4DAB-AD5A-4E58-A9D4-6AFE2848047E}" cache="Slicer_ProductName2" caption="ProductName" level="1"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2" xr10:uid="{C899A2DB-EECB-4511-A2A4-6B6603DA2D58}" cache="Slicer_ProductName2" caption="ProductNam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CBBFA82-5908-4C47-9F8B-8D2CE0E381CE}" cache="Slicer_Category" caption="Category" level="1" rowHeight="234950"/>
  <slicer name="Region 1" xr10:uid="{F09DEC16-2821-499A-A01E-F1877258A9E9}" cache="Slicer_Region1" caption="Region" level="1" rowHeight="234950"/>
  <slicer name="ProductName 3" xr10:uid="{7C1919A8-4016-46E0-9D5B-A55C2A43D030}" cache="Slicer_ProductName2" caption="Product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27">
  <tableColumns count="10">
    <tableColumn id="1" xr3:uid="{00000000-0010-0000-0000-000001000000}" name="Date "/>
    <tableColumn id="2" xr3:uid="{00000000-0010-0000-0000-000002000000}" name="ProductID"/>
    <tableColumn id="3" xr3:uid="{00000000-0010-0000-0000-000003000000}" name="StoreID"/>
    <tableColumn id="4" xr3:uid="{00000000-0010-0000-0000-000004000000}" name="Store cities"/>
    <tableColumn id="5" xr3:uid="{00000000-0010-0000-0000-000005000000}" name="region"/>
    <tableColumn id="6" xr3:uid="{00000000-0010-0000-0000-000006000000}" name="Product name"/>
    <tableColumn id="7" xr3:uid="{00000000-0010-0000-0000-000007000000}" name="product category"/>
    <tableColumn id="8" xr3:uid="{00000000-0010-0000-0000-000008000000}" name="Units"/>
    <tableColumn id="9" xr3:uid="{00000000-0010-0000-0000-000009000000}" name="price"/>
    <tableColumn id="10" xr3:uid="{00000000-0010-0000-0000-00000A000000}" name="revenue"/>
  </tableColumns>
  <tableStyleInfo name="transformed Sales 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6546DB-A5EC-475F-B735-6D5BC3E38CDF}" name="Table5" displayName="Table5" ref="A1:E14" totalsRowShown="0">
  <autoFilter ref="A1:E14" xr:uid="{BD6546DB-A5EC-475F-B735-6D5BC3E38CDF}"/>
  <tableColumns count="5">
    <tableColumn id="1" xr3:uid="{2520818E-EF82-49FF-90E6-A980FDA459A4}" name="Date " dataDxfId="2"/>
    <tableColumn id="2" xr3:uid="{7CDCF23F-4F41-46CC-BD0A-691A3AC716C2}" name="revenue"/>
    <tableColumn id="3" xr3:uid="{638DB088-5896-4CF9-A0E3-FD0509965B32}" name="Forecast(revenue)"/>
    <tableColumn id="4" xr3:uid="{31BF6A60-72AC-4B70-9A1A-4C2FA76A3656}" name="Lower Confidence Bound(revenue)" dataDxfId="1"/>
    <tableColumn id="5" xr3:uid="{9C829E9B-5B71-4559-9CCB-019428E3EF05}" name="Upper Confidence Bound(revenue)"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les" displayName="sales" ref="A1:F27">
  <tableColumns count="6">
    <tableColumn id="1" xr3:uid="{00000000-0010-0000-0100-000001000000}" name="Date "/>
    <tableColumn id="2" xr3:uid="{00000000-0010-0000-0100-000002000000}" name="ProductID"/>
    <tableColumn id="3" xr3:uid="{00000000-0010-0000-0100-000003000000}" name="StoreID"/>
    <tableColumn id="4" xr3:uid="{00000000-0010-0000-0100-000004000000}" name="Units"/>
    <tableColumn id="7" xr3:uid="{8EEAC8C2-C2E3-4D5F-B73E-514B8F19CCE8}" name="price" dataDxfId="4">
      <calculatedColumnFormula>_xlfn.XLOOKUP(B:B,Product[[#All],[ProductID]],Product[[#All],[Price]],0,0)</calculatedColumnFormula>
    </tableColumn>
    <tableColumn id="5" xr3:uid="{00000000-0010-0000-0100-000005000000}" name="revenue" dataDxfId="3"/>
  </tableColumns>
  <tableStyleInfo name="sales_original-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duct" displayName="Product" ref="A1:D6">
  <tableColumns count="4">
    <tableColumn id="1" xr3:uid="{00000000-0010-0000-0200-000001000000}" name="ProductID"/>
    <tableColumn id="2" xr3:uid="{00000000-0010-0000-0200-000002000000}" name="ProductName"/>
    <tableColumn id="3" xr3:uid="{00000000-0010-0000-0200-000003000000}" name="Category"/>
    <tableColumn id="4" xr3:uid="{00000000-0010-0000-0200-000004000000}" name="Price"/>
  </tableColumns>
  <tableStyleInfo name="product table-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ore" displayName="store" ref="A1:C4">
  <tableColumns count="3">
    <tableColumn id="1" xr3:uid="{00000000-0010-0000-0300-000001000000}" name="StoreID"/>
    <tableColumn id="2" xr3:uid="{00000000-0010-0000-0300-000002000000}" name="StoreName"/>
    <tableColumn id="3" xr3:uid="{00000000-0010-0000-0300-000003000000}" name="Region"/>
  </tableColumns>
  <tableStyleInfo name="stores tabl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14C6709-736D-42FF-93C8-F9E3B5CC9C53}" sourceName="[sales].[Date]">
  <pivotTables>
    <pivotTable tabId="8" name="PivotTable4"/>
  </pivotTables>
  <state minimalRefreshVersion="6" lastRefreshVersion="6" pivotCacheId="1071923326" filterType="dateBetween">
    <selection startDate="2025-01-01T00:00:00" endDate="2025-12-31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C46305D0-21AE-44DB-99BF-75AA2F41AACF}" sourceName="[Table_1].[Date]">
  <pivotTables>
    <pivotTable tabId="10" name="PivotTable7"/>
  </pivotTables>
  <state minimalRefreshVersion="6" lastRefreshVersion="6" pivotCacheId="1071923326" filterType="dateBetween">
    <selection startDate="2025-07-01T00:00:00" endDate="2025-07-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396EBB2-2C34-4026-8E6E-FD4FB7C7491F}" cache="Timeline_Date" caption="Date" level="2"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719E2F9-6CBB-4ED2-99FF-829F22852A1F}" cache="Timeline_Date" caption="Date" level="2" selectionLevel="0"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1D0C390-F6AC-47E2-98EF-E85D66778AE3}" cache="Timeline_Date1" caption="Date" level="2" selectionLevel="2" scrollPosition="2025-06-06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2AA2ED-6ADE-4A03-8B97-2DD1F1F25EA5}">
  <we:reference id="wa200004935" version="6.0.0.0" store="en-US"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workbookViewId="0"/>
  </sheetViews>
  <sheetFormatPr defaultColWidth="14.44140625" defaultRowHeight="15" customHeight="1" x14ac:dyDescent="0.3"/>
  <cols>
    <col min="1" max="1" width="11.109375" customWidth="1"/>
    <col min="2" max="2" width="12" customWidth="1"/>
    <col min="3" max="3" width="9.88671875" customWidth="1"/>
    <col min="4" max="4" width="20" customWidth="1"/>
    <col min="5" max="5" width="13.44140625" customWidth="1"/>
    <col min="6" max="6" width="15.88671875" customWidth="1"/>
    <col min="7" max="7" width="18.33203125" customWidth="1"/>
    <col min="8" max="9" width="8.6640625" customWidth="1"/>
    <col min="10" max="10" width="10.44140625" customWidth="1"/>
    <col min="11" max="26" width="8.6640625" customWidth="1"/>
  </cols>
  <sheetData>
    <row r="1" spans="1:17" ht="14.25" customHeight="1" x14ac:dyDescent="0.3">
      <c r="A1" s="1" t="s">
        <v>0</v>
      </c>
      <c r="B1" s="1" t="s">
        <v>1</v>
      </c>
      <c r="C1" s="1" t="s">
        <v>2</v>
      </c>
      <c r="D1" s="1" t="s">
        <v>3</v>
      </c>
      <c r="E1" s="1" t="s">
        <v>4</v>
      </c>
      <c r="F1" s="2" t="s">
        <v>5</v>
      </c>
      <c r="G1" s="1" t="s">
        <v>6</v>
      </c>
      <c r="H1" s="1" t="s">
        <v>7</v>
      </c>
      <c r="I1" s="1" t="s">
        <v>8</v>
      </c>
      <c r="J1" s="1" t="s">
        <v>9</v>
      </c>
    </row>
    <row r="2" spans="1:17" ht="14.25" customHeight="1" x14ac:dyDescent="0.3">
      <c r="A2" s="3">
        <v>45839</v>
      </c>
      <c r="B2" s="4" t="s">
        <v>10</v>
      </c>
      <c r="C2" s="4" t="s">
        <v>11</v>
      </c>
      <c r="D2" s="4" t="s">
        <v>12</v>
      </c>
      <c r="E2" s="4" t="s">
        <v>13</v>
      </c>
      <c r="F2" s="4" t="s">
        <v>14</v>
      </c>
      <c r="G2" s="4" t="s">
        <v>15</v>
      </c>
      <c r="H2" s="4">
        <v>12</v>
      </c>
      <c r="I2" s="4">
        <v>120</v>
      </c>
      <c r="J2" s="4">
        <v>1440</v>
      </c>
    </row>
    <row r="3" spans="1:17" ht="14.25" customHeight="1" x14ac:dyDescent="0.3">
      <c r="A3" s="3">
        <v>45839</v>
      </c>
      <c r="B3" s="4" t="s">
        <v>16</v>
      </c>
      <c r="C3" s="4" t="s">
        <v>17</v>
      </c>
      <c r="D3" s="4" t="s">
        <v>18</v>
      </c>
      <c r="E3" s="4" t="s">
        <v>19</v>
      </c>
      <c r="F3" s="4" t="s">
        <v>20</v>
      </c>
      <c r="G3" s="4" t="s">
        <v>15</v>
      </c>
      <c r="H3" s="4">
        <v>35</v>
      </c>
      <c r="I3" s="4">
        <v>15</v>
      </c>
      <c r="J3" s="4">
        <v>525</v>
      </c>
    </row>
    <row r="4" spans="1:17" ht="14.25" customHeight="1" x14ac:dyDescent="0.3">
      <c r="A4" s="3">
        <v>45840</v>
      </c>
      <c r="B4" s="4" t="s">
        <v>21</v>
      </c>
      <c r="C4" s="4" t="s">
        <v>22</v>
      </c>
      <c r="D4" s="4" t="s">
        <v>23</v>
      </c>
      <c r="E4" s="4" t="s">
        <v>24</v>
      </c>
      <c r="F4" s="4" t="s">
        <v>25</v>
      </c>
      <c r="G4" s="4" t="s">
        <v>26</v>
      </c>
      <c r="H4" s="4">
        <v>8</v>
      </c>
      <c r="I4" s="4">
        <v>220</v>
      </c>
      <c r="J4" s="4">
        <v>1760</v>
      </c>
    </row>
    <row r="5" spans="1:17" ht="14.25" customHeight="1" x14ac:dyDescent="0.3">
      <c r="A5" s="3">
        <v>45840</v>
      </c>
      <c r="B5" s="4" t="s">
        <v>27</v>
      </c>
      <c r="C5" s="4" t="s">
        <v>11</v>
      </c>
      <c r="D5" s="4" t="s">
        <v>12</v>
      </c>
      <c r="E5" s="4" t="s">
        <v>13</v>
      </c>
      <c r="F5" s="4" t="s">
        <v>28</v>
      </c>
      <c r="G5" s="4" t="s">
        <v>15</v>
      </c>
      <c r="H5" s="4">
        <v>22</v>
      </c>
      <c r="I5" s="4">
        <v>30</v>
      </c>
      <c r="J5" s="4">
        <v>660</v>
      </c>
    </row>
    <row r="6" spans="1:17" ht="14.25" customHeight="1" x14ac:dyDescent="0.3">
      <c r="A6" s="3">
        <v>45841</v>
      </c>
      <c r="B6" s="4" t="s">
        <v>29</v>
      </c>
      <c r="C6" s="4" t="s">
        <v>17</v>
      </c>
      <c r="D6" s="4" t="s">
        <v>18</v>
      </c>
      <c r="E6" s="4" t="s">
        <v>19</v>
      </c>
      <c r="F6" s="4" t="s">
        <v>30</v>
      </c>
      <c r="G6" s="4" t="s">
        <v>26</v>
      </c>
      <c r="H6" s="4">
        <v>15</v>
      </c>
      <c r="I6" s="4">
        <v>50</v>
      </c>
      <c r="J6" s="4">
        <v>750</v>
      </c>
    </row>
    <row r="7" spans="1:17" ht="14.25" customHeight="1" x14ac:dyDescent="0.3">
      <c r="A7" s="3">
        <v>45841</v>
      </c>
      <c r="B7" s="4" t="s">
        <v>10</v>
      </c>
      <c r="C7" s="4" t="s">
        <v>22</v>
      </c>
      <c r="D7" s="4" t="s">
        <v>23</v>
      </c>
      <c r="E7" s="4" t="s">
        <v>24</v>
      </c>
      <c r="F7" s="4" t="s">
        <v>14</v>
      </c>
      <c r="G7" s="4" t="s">
        <v>15</v>
      </c>
      <c r="H7" s="4">
        <v>18</v>
      </c>
      <c r="I7" s="4">
        <v>120</v>
      </c>
      <c r="J7" s="4">
        <v>2160</v>
      </c>
    </row>
    <row r="8" spans="1:17" ht="14.25" customHeight="1" x14ac:dyDescent="0.3">
      <c r="A8" s="3">
        <v>45842</v>
      </c>
      <c r="B8" s="4" t="s">
        <v>16</v>
      </c>
      <c r="C8" s="4" t="s">
        <v>11</v>
      </c>
      <c r="D8" s="4" t="s">
        <v>12</v>
      </c>
      <c r="E8" s="4" t="s">
        <v>13</v>
      </c>
      <c r="F8" s="4" t="s">
        <v>20</v>
      </c>
      <c r="G8" s="4" t="s">
        <v>15</v>
      </c>
      <c r="H8" s="4">
        <v>40</v>
      </c>
      <c r="I8" s="4">
        <v>15</v>
      </c>
      <c r="J8" s="4">
        <v>600</v>
      </c>
    </row>
    <row r="9" spans="1:17" ht="14.25" customHeight="1" x14ac:dyDescent="0.3">
      <c r="A9" s="3">
        <v>45842</v>
      </c>
      <c r="B9" s="4" t="s">
        <v>27</v>
      </c>
      <c r="C9" s="4" t="s">
        <v>17</v>
      </c>
      <c r="D9" s="4" t="s">
        <v>18</v>
      </c>
      <c r="E9" s="4" t="s">
        <v>19</v>
      </c>
      <c r="F9" s="4" t="s">
        <v>28</v>
      </c>
      <c r="G9" s="4" t="s">
        <v>15</v>
      </c>
      <c r="H9" s="4">
        <v>10</v>
      </c>
      <c r="I9" s="4">
        <v>30</v>
      </c>
      <c r="J9" s="4">
        <v>300</v>
      </c>
      <c r="N9" s="4" t="s">
        <v>31</v>
      </c>
    </row>
    <row r="10" spans="1:17" ht="14.25" customHeight="1" x14ac:dyDescent="0.3">
      <c r="A10" s="3">
        <v>45843</v>
      </c>
      <c r="B10" s="4" t="s">
        <v>21</v>
      </c>
      <c r="C10" s="4" t="s">
        <v>22</v>
      </c>
      <c r="D10" s="4" t="s">
        <v>23</v>
      </c>
      <c r="E10" s="4" t="s">
        <v>24</v>
      </c>
      <c r="F10" s="4" t="s">
        <v>25</v>
      </c>
      <c r="G10" s="4" t="s">
        <v>26</v>
      </c>
      <c r="H10" s="4">
        <v>6</v>
      </c>
      <c r="I10" s="4">
        <v>220</v>
      </c>
      <c r="J10" s="4">
        <v>1320</v>
      </c>
    </row>
    <row r="11" spans="1:17" ht="14.25" customHeight="1" x14ac:dyDescent="0.3">
      <c r="A11" s="3">
        <v>45843</v>
      </c>
      <c r="B11" s="4" t="s">
        <v>29</v>
      </c>
      <c r="C11" s="4" t="s">
        <v>11</v>
      </c>
      <c r="D11" s="4" t="s">
        <v>12</v>
      </c>
      <c r="E11" s="4" t="s">
        <v>13</v>
      </c>
      <c r="F11" s="4" t="s">
        <v>30</v>
      </c>
      <c r="G11" s="4" t="s">
        <v>26</v>
      </c>
      <c r="H11" s="4">
        <v>25</v>
      </c>
      <c r="I11" s="4">
        <v>50</v>
      </c>
      <c r="J11" s="4">
        <v>1250</v>
      </c>
    </row>
    <row r="12" spans="1:17" ht="18.75" customHeight="1" x14ac:dyDescent="0.3">
      <c r="A12" s="3">
        <v>45844</v>
      </c>
      <c r="B12" s="4" t="s">
        <v>10</v>
      </c>
      <c r="C12" s="4" t="s">
        <v>17</v>
      </c>
      <c r="D12" s="4" t="s">
        <v>18</v>
      </c>
      <c r="E12" s="4" t="s">
        <v>19</v>
      </c>
      <c r="F12" s="4" t="s">
        <v>14</v>
      </c>
      <c r="G12" s="4" t="s">
        <v>15</v>
      </c>
      <c r="H12" s="4">
        <v>30</v>
      </c>
      <c r="I12" s="4">
        <v>120</v>
      </c>
      <c r="J12" s="4">
        <v>3600</v>
      </c>
      <c r="N12" s="1"/>
      <c r="O12" s="1"/>
      <c r="P12" s="1"/>
      <c r="Q12" s="1"/>
    </row>
    <row r="13" spans="1:17" ht="14.25" customHeight="1" x14ac:dyDescent="0.3">
      <c r="A13" s="3">
        <v>45844</v>
      </c>
      <c r="B13" s="4" t="s">
        <v>16</v>
      </c>
      <c r="C13" s="4" t="s">
        <v>22</v>
      </c>
      <c r="D13" s="4" t="s">
        <v>23</v>
      </c>
      <c r="E13" s="4" t="s">
        <v>24</v>
      </c>
      <c r="F13" s="4" t="s">
        <v>20</v>
      </c>
      <c r="G13" s="4" t="s">
        <v>15</v>
      </c>
      <c r="H13" s="4">
        <v>28</v>
      </c>
      <c r="I13" s="4">
        <v>15</v>
      </c>
      <c r="J13" s="4">
        <v>420</v>
      </c>
    </row>
    <row r="14" spans="1:17" ht="14.25" customHeight="1" x14ac:dyDescent="0.3">
      <c r="A14" s="3">
        <v>45845</v>
      </c>
      <c r="B14" s="4" t="s">
        <v>27</v>
      </c>
      <c r="C14" s="4" t="s">
        <v>11</v>
      </c>
      <c r="D14" s="4" t="s">
        <v>12</v>
      </c>
      <c r="E14" s="4" t="s">
        <v>13</v>
      </c>
      <c r="F14" s="4" t="s">
        <v>28</v>
      </c>
      <c r="G14" s="4" t="s">
        <v>15</v>
      </c>
      <c r="H14" s="4">
        <v>12</v>
      </c>
      <c r="I14" s="4">
        <v>30</v>
      </c>
      <c r="J14" s="4">
        <v>360</v>
      </c>
    </row>
    <row r="15" spans="1:17" ht="14.25" customHeight="1" x14ac:dyDescent="0.3">
      <c r="A15" s="3">
        <v>45845</v>
      </c>
      <c r="B15" s="4" t="s">
        <v>21</v>
      </c>
      <c r="C15" s="4" t="s">
        <v>17</v>
      </c>
      <c r="D15" s="4" t="s">
        <v>18</v>
      </c>
      <c r="E15" s="4" t="s">
        <v>19</v>
      </c>
      <c r="F15" s="4" t="s">
        <v>25</v>
      </c>
      <c r="G15" s="4" t="s">
        <v>26</v>
      </c>
      <c r="H15" s="4">
        <v>20</v>
      </c>
      <c r="I15" s="4">
        <v>220</v>
      </c>
      <c r="J15" s="4">
        <v>4400</v>
      </c>
    </row>
    <row r="16" spans="1:17" ht="14.25" customHeight="1" x14ac:dyDescent="0.3">
      <c r="A16" s="3">
        <v>45846</v>
      </c>
      <c r="B16" s="4" t="s">
        <v>29</v>
      </c>
      <c r="C16" s="4" t="s">
        <v>22</v>
      </c>
      <c r="D16" s="4" t="s">
        <v>23</v>
      </c>
      <c r="E16" s="4" t="s">
        <v>24</v>
      </c>
      <c r="F16" s="4" t="s">
        <v>30</v>
      </c>
      <c r="G16" s="4" t="s">
        <v>26</v>
      </c>
      <c r="H16" s="4">
        <v>14</v>
      </c>
      <c r="I16" s="4">
        <v>50</v>
      </c>
      <c r="J16" s="4">
        <v>700</v>
      </c>
    </row>
    <row r="17" spans="1:10" ht="14.25" customHeight="1" x14ac:dyDescent="0.3">
      <c r="A17" s="3">
        <v>45846</v>
      </c>
      <c r="B17" s="4" t="s">
        <v>10</v>
      </c>
      <c r="C17" s="4" t="s">
        <v>11</v>
      </c>
      <c r="D17" s="4" t="s">
        <v>12</v>
      </c>
      <c r="E17" s="4" t="s">
        <v>13</v>
      </c>
      <c r="F17" s="4" t="s">
        <v>14</v>
      </c>
      <c r="G17" s="4" t="s">
        <v>15</v>
      </c>
      <c r="H17" s="4">
        <v>16</v>
      </c>
      <c r="I17" s="4">
        <v>120</v>
      </c>
      <c r="J17" s="4">
        <v>1920</v>
      </c>
    </row>
    <row r="18" spans="1:10" ht="14.25" customHeight="1" x14ac:dyDescent="0.3">
      <c r="A18" s="3">
        <v>45847</v>
      </c>
      <c r="B18" s="4" t="s">
        <v>16</v>
      </c>
      <c r="C18" s="4" t="s">
        <v>17</v>
      </c>
      <c r="D18" s="4" t="s">
        <v>18</v>
      </c>
      <c r="E18" s="4" t="s">
        <v>19</v>
      </c>
      <c r="F18" s="4" t="s">
        <v>20</v>
      </c>
      <c r="G18" s="4" t="s">
        <v>15</v>
      </c>
      <c r="H18" s="4">
        <v>50</v>
      </c>
      <c r="I18" s="4">
        <v>15</v>
      </c>
      <c r="J18" s="4">
        <v>750</v>
      </c>
    </row>
    <row r="19" spans="1:10" ht="14.25" customHeight="1" x14ac:dyDescent="0.3">
      <c r="A19" s="3">
        <v>45847</v>
      </c>
      <c r="B19" s="4" t="s">
        <v>27</v>
      </c>
      <c r="C19" s="4" t="s">
        <v>22</v>
      </c>
      <c r="D19" s="4" t="s">
        <v>23</v>
      </c>
      <c r="E19" s="4" t="s">
        <v>24</v>
      </c>
      <c r="F19" s="4" t="s">
        <v>28</v>
      </c>
      <c r="G19" s="4" t="s">
        <v>15</v>
      </c>
      <c r="H19" s="4">
        <v>8</v>
      </c>
      <c r="I19" s="4">
        <v>30</v>
      </c>
      <c r="J19" s="4">
        <v>240</v>
      </c>
    </row>
    <row r="20" spans="1:10" ht="14.25" customHeight="1" x14ac:dyDescent="0.3">
      <c r="A20" s="3">
        <v>45848</v>
      </c>
      <c r="B20" s="4" t="s">
        <v>21</v>
      </c>
      <c r="C20" s="4" t="s">
        <v>11</v>
      </c>
      <c r="D20" s="4" t="s">
        <v>12</v>
      </c>
      <c r="E20" s="4" t="s">
        <v>13</v>
      </c>
      <c r="F20" s="4" t="s">
        <v>25</v>
      </c>
      <c r="G20" s="4" t="s">
        <v>26</v>
      </c>
      <c r="H20" s="4">
        <v>11</v>
      </c>
      <c r="I20" s="4">
        <v>220</v>
      </c>
      <c r="J20" s="4">
        <v>2420</v>
      </c>
    </row>
    <row r="21" spans="1:10" ht="14.25" customHeight="1" x14ac:dyDescent="0.3">
      <c r="A21" s="3">
        <v>45848</v>
      </c>
      <c r="B21" s="4" t="s">
        <v>29</v>
      </c>
      <c r="C21" s="4" t="s">
        <v>17</v>
      </c>
      <c r="D21" s="4" t="s">
        <v>18</v>
      </c>
      <c r="E21" s="4" t="s">
        <v>19</v>
      </c>
      <c r="F21" s="4" t="s">
        <v>30</v>
      </c>
      <c r="G21" s="4" t="s">
        <v>26</v>
      </c>
      <c r="H21" s="4">
        <v>19</v>
      </c>
      <c r="I21" s="4">
        <v>50</v>
      </c>
      <c r="J21" s="4">
        <v>950</v>
      </c>
    </row>
    <row r="22" spans="1:10" ht="14.25" customHeight="1" x14ac:dyDescent="0.3">
      <c r="A22" s="3">
        <v>45846</v>
      </c>
      <c r="B22" s="4" t="s">
        <v>10</v>
      </c>
      <c r="C22" s="4" t="s">
        <v>22</v>
      </c>
      <c r="D22" s="4" t="s">
        <v>23</v>
      </c>
      <c r="E22" s="4" t="s">
        <v>24</v>
      </c>
      <c r="F22" s="4" t="s">
        <v>14</v>
      </c>
      <c r="G22" s="4" t="s">
        <v>15</v>
      </c>
      <c r="H22" s="4">
        <v>14</v>
      </c>
      <c r="I22" s="4">
        <v>120</v>
      </c>
      <c r="J22" s="4">
        <v>1680</v>
      </c>
    </row>
    <row r="23" spans="1:10" ht="14.25" customHeight="1" x14ac:dyDescent="0.3">
      <c r="A23" s="3">
        <v>45846</v>
      </c>
      <c r="B23" s="4" t="s">
        <v>29</v>
      </c>
      <c r="C23" s="4" t="s">
        <v>11</v>
      </c>
      <c r="D23" s="4" t="s">
        <v>12</v>
      </c>
      <c r="E23" s="4" t="s">
        <v>13</v>
      </c>
      <c r="F23" s="4" t="s">
        <v>30</v>
      </c>
      <c r="G23" s="4" t="s">
        <v>26</v>
      </c>
      <c r="H23" s="4">
        <v>45</v>
      </c>
      <c r="I23" s="4">
        <v>50</v>
      </c>
      <c r="J23" s="4">
        <v>2250</v>
      </c>
    </row>
    <row r="24" spans="1:10" ht="14.25" customHeight="1" x14ac:dyDescent="0.3">
      <c r="A24" s="3">
        <v>45847</v>
      </c>
      <c r="B24" s="4" t="s">
        <v>27</v>
      </c>
      <c r="C24" s="4" t="s">
        <v>17</v>
      </c>
      <c r="D24" s="4" t="s">
        <v>18</v>
      </c>
      <c r="E24" s="4" t="s">
        <v>19</v>
      </c>
      <c r="F24" s="4" t="s">
        <v>28</v>
      </c>
      <c r="G24" s="4" t="s">
        <v>15</v>
      </c>
      <c r="H24" s="4">
        <v>59</v>
      </c>
      <c r="I24" s="4">
        <v>30</v>
      </c>
      <c r="J24" s="4">
        <v>1770</v>
      </c>
    </row>
    <row r="25" spans="1:10" ht="14.25" customHeight="1" x14ac:dyDescent="0.3">
      <c r="A25" s="3">
        <v>45847</v>
      </c>
      <c r="B25" s="4" t="s">
        <v>16</v>
      </c>
      <c r="C25" s="4" t="s">
        <v>22</v>
      </c>
      <c r="D25" s="4" t="s">
        <v>23</v>
      </c>
      <c r="E25" s="4" t="s">
        <v>24</v>
      </c>
      <c r="F25" s="4" t="s">
        <v>20</v>
      </c>
      <c r="G25" s="4" t="s">
        <v>15</v>
      </c>
      <c r="H25" s="4">
        <v>26</v>
      </c>
      <c r="I25" s="4">
        <v>15</v>
      </c>
      <c r="J25" s="4">
        <v>390</v>
      </c>
    </row>
    <row r="26" spans="1:10" ht="14.25" customHeight="1" x14ac:dyDescent="0.3">
      <c r="A26" s="3">
        <v>45848</v>
      </c>
      <c r="B26" s="4" t="s">
        <v>27</v>
      </c>
      <c r="C26" s="4" t="s">
        <v>11</v>
      </c>
      <c r="D26" s="4" t="s">
        <v>12</v>
      </c>
      <c r="E26" s="4" t="s">
        <v>13</v>
      </c>
      <c r="F26" s="4" t="s">
        <v>28</v>
      </c>
      <c r="G26" s="4" t="s">
        <v>15</v>
      </c>
      <c r="H26" s="4">
        <v>16</v>
      </c>
      <c r="I26" s="4">
        <v>30</v>
      </c>
      <c r="J26" s="4">
        <v>480</v>
      </c>
    </row>
    <row r="27" spans="1:10" ht="14.25" customHeight="1" x14ac:dyDescent="0.3">
      <c r="A27" s="3">
        <v>45848</v>
      </c>
      <c r="B27" s="4" t="s">
        <v>10</v>
      </c>
      <c r="C27" s="4" t="s">
        <v>17</v>
      </c>
      <c r="D27" s="4" t="s">
        <v>18</v>
      </c>
      <c r="E27" s="4" t="s">
        <v>19</v>
      </c>
      <c r="F27" s="4" t="s">
        <v>14</v>
      </c>
      <c r="G27" s="4" t="s">
        <v>15</v>
      </c>
      <c r="H27" s="4">
        <v>20</v>
      </c>
      <c r="I27" s="4">
        <v>120</v>
      </c>
      <c r="J27" s="4">
        <v>2400</v>
      </c>
    </row>
    <row r="28" spans="1:10" ht="14.25" customHeight="1" x14ac:dyDescent="0.3"/>
    <row r="29" spans="1:10" ht="14.25" customHeight="1" x14ac:dyDescent="0.3"/>
    <row r="30" spans="1:10" ht="14.25" customHeight="1" x14ac:dyDescent="0.3"/>
    <row r="31" spans="1:10" ht="14.25" customHeight="1" x14ac:dyDescent="0.3"/>
    <row r="32" spans="1:10" ht="14.25" customHeight="1" x14ac:dyDescent="0.3"/>
    <row r="33" spans="1:1" ht="14.25" customHeight="1" x14ac:dyDescent="0.3">
      <c r="A33" s="3"/>
    </row>
    <row r="34" spans="1:1" ht="14.25" customHeight="1" x14ac:dyDescent="0.3">
      <c r="A34" s="3"/>
    </row>
    <row r="35" spans="1:1" ht="14.25" customHeight="1" x14ac:dyDescent="0.3">
      <c r="A35" s="3"/>
    </row>
    <row r="36" spans="1:1" ht="14.25" customHeight="1" x14ac:dyDescent="0.3">
      <c r="A36" s="3"/>
    </row>
    <row r="37" spans="1:1" ht="14.25" customHeight="1" x14ac:dyDescent="0.3"/>
    <row r="38" spans="1:1" ht="14.25" customHeight="1" x14ac:dyDescent="0.3"/>
    <row r="39" spans="1:1" ht="14.25" customHeight="1" x14ac:dyDescent="0.3"/>
    <row r="40" spans="1:1" ht="14.25" customHeight="1" x14ac:dyDescent="0.3"/>
    <row r="41" spans="1:1" ht="14.25" customHeight="1" x14ac:dyDescent="0.3"/>
    <row r="42" spans="1:1" ht="14.25" customHeight="1" x14ac:dyDescent="0.3"/>
    <row r="43" spans="1:1" ht="14.25" customHeight="1" x14ac:dyDescent="0.3"/>
    <row r="44" spans="1:1" ht="14.25" customHeight="1" x14ac:dyDescent="0.3"/>
    <row r="45" spans="1:1" ht="14.25" customHeight="1" x14ac:dyDescent="0.3"/>
    <row r="46" spans="1:1" ht="14.25" customHeight="1" x14ac:dyDescent="0.3"/>
    <row r="47" spans="1:1" ht="14.25" customHeight="1" x14ac:dyDescent="0.3"/>
    <row r="48" spans="1: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6F46-31F4-4956-A839-FA06481AB250}">
  <dimension ref="A3:E7"/>
  <sheetViews>
    <sheetView workbookViewId="0">
      <selection activeCell="Y26" sqref="Y26"/>
    </sheetView>
  </sheetViews>
  <sheetFormatPr defaultRowHeight="14.4" x14ac:dyDescent="0.3"/>
  <cols>
    <col min="1" max="1" width="28.44140625" bestFit="1" customWidth="1"/>
    <col min="2" max="2" width="8.77734375" bestFit="1" customWidth="1"/>
    <col min="3" max="3" width="5.6640625" bestFit="1" customWidth="1"/>
    <col min="4" max="4" width="5.21875" bestFit="1" customWidth="1"/>
    <col min="5" max="5" width="10.5546875" bestFit="1" customWidth="1"/>
    <col min="6" max="22" width="3" bestFit="1" customWidth="1"/>
    <col min="23" max="23" width="7.6640625" bestFit="1" customWidth="1"/>
    <col min="24" max="24" width="2" bestFit="1" customWidth="1"/>
    <col min="25" max="43" width="3" bestFit="1" customWidth="1"/>
    <col min="44" max="44" width="7.21875" bestFit="1" customWidth="1"/>
    <col min="45" max="45" width="2" bestFit="1" customWidth="1"/>
    <col min="46" max="64" width="3" bestFit="1" customWidth="1"/>
    <col min="65" max="65" width="10.5546875" bestFit="1" customWidth="1"/>
  </cols>
  <sheetData>
    <row r="3" spans="1:5" x14ac:dyDescent="0.3">
      <c r="A3" s="8" t="s">
        <v>46</v>
      </c>
      <c r="B3" s="8" t="s">
        <v>36</v>
      </c>
      <c r="C3" s="6"/>
      <c r="D3" s="6"/>
      <c r="E3" s="7"/>
    </row>
    <row r="4" spans="1:5" x14ac:dyDescent="0.3">
      <c r="A4" s="8" t="s">
        <v>47</v>
      </c>
      <c r="B4" s="5" t="s">
        <v>24</v>
      </c>
      <c r="C4" s="9" t="s">
        <v>19</v>
      </c>
      <c r="D4" s="9" t="s">
        <v>13</v>
      </c>
      <c r="E4" s="10" t="s">
        <v>39</v>
      </c>
    </row>
    <row r="5" spans="1:5" x14ac:dyDescent="0.3">
      <c r="A5" s="11" t="s">
        <v>26</v>
      </c>
      <c r="B5" s="5"/>
      <c r="C5" s="9"/>
      <c r="D5" s="9"/>
      <c r="E5" s="10"/>
    </row>
    <row r="6" spans="1:5" x14ac:dyDescent="0.3">
      <c r="A6" s="12" t="s">
        <v>30</v>
      </c>
      <c r="B6" s="19">
        <v>14</v>
      </c>
      <c r="C6" s="20">
        <v>34</v>
      </c>
      <c r="D6" s="20">
        <v>70</v>
      </c>
      <c r="E6" s="15">
        <v>118</v>
      </c>
    </row>
    <row r="7" spans="1:5" x14ac:dyDescent="0.3">
      <c r="A7" s="14" t="s">
        <v>39</v>
      </c>
      <c r="B7" s="21">
        <v>14</v>
      </c>
      <c r="C7" s="22">
        <v>34</v>
      </c>
      <c r="D7" s="22">
        <v>70</v>
      </c>
      <c r="E7" s="16">
        <v>118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F7C2-9BC7-4279-A3D7-ECF962A93C06}">
  <dimension ref="A3:B6"/>
  <sheetViews>
    <sheetView workbookViewId="0">
      <selection activeCell="I5" sqref="I5"/>
    </sheetView>
  </sheetViews>
  <sheetFormatPr defaultRowHeight="14.4" x14ac:dyDescent="0.3"/>
  <cols>
    <col min="1" max="1" width="14.5546875" bestFit="1" customWidth="1"/>
    <col min="2" max="2" width="12.21875" bestFit="1" customWidth="1"/>
    <col min="3" max="5" width="15" bestFit="1" customWidth="1"/>
    <col min="6" max="7" width="10.5546875" bestFit="1" customWidth="1"/>
  </cols>
  <sheetData>
    <row r="3" spans="1:2" x14ac:dyDescent="0.3">
      <c r="A3" s="8" t="s">
        <v>5</v>
      </c>
      <c r="B3" s="10" t="s">
        <v>41</v>
      </c>
    </row>
    <row r="4" spans="1:2" x14ac:dyDescent="0.3">
      <c r="A4" s="11" t="s">
        <v>30</v>
      </c>
      <c r="B4" s="10">
        <v>35495</v>
      </c>
    </row>
    <row r="5" spans="1:2" x14ac:dyDescent="0.3">
      <c r="A5" s="13" t="s">
        <v>25</v>
      </c>
      <c r="B5" s="15">
        <v>35495</v>
      </c>
    </row>
    <row r="6" spans="1:2" x14ac:dyDescent="0.3">
      <c r="A6" s="14" t="s">
        <v>39</v>
      </c>
      <c r="B6" s="16">
        <v>35495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CE64-7292-48A5-BFC4-837C1957CD4A}">
  <dimension ref="A3:D11"/>
  <sheetViews>
    <sheetView workbookViewId="0">
      <selection activeCell="A3" sqref="A3:G15"/>
    </sheetView>
  </sheetViews>
  <sheetFormatPr defaultRowHeight="14.4" x14ac:dyDescent="0.3"/>
  <cols>
    <col min="1" max="1" width="20.5546875" bestFit="1" customWidth="1"/>
    <col min="2" max="2" width="14.5546875" bestFit="1" customWidth="1"/>
    <col min="3" max="3" width="6.6640625" bestFit="1" customWidth="1"/>
    <col min="4" max="4" width="10.5546875" bestFit="1" customWidth="1"/>
    <col min="5" max="5" width="4" bestFit="1" customWidth="1"/>
    <col min="6" max="6" width="6.6640625" bestFit="1" customWidth="1"/>
    <col min="7" max="7" width="10.5546875" bestFit="1" customWidth="1"/>
  </cols>
  <sheetData>
    <row r="3" spans="1:4" x14ac:dyDescent="0.3">
      <c r="A3" s="8" t="s">
        <v>42</v>
      </c>
      <c r="B3" s="8" t="s">
        <v>5</v>
      </c>
      <c r="C3" s="6"/>
      <c r="D3" s="7"/>
    </row>
    <row r="4" spans="1:4" x14ac:dyDescent="0.3">
      <c r="A4" s="8" t="s">
        <v>38</v>
      </c>
      <c r="B4" s="5" t="s">
        <v>30</v>
      </c>
      <c r="C4" s="9" t="s">
        <v>25</v>
      </c>
      <c r="D4" s="10" t="s">
        <v>39</v>
      </c>
    </row>
    <row r="5" spans="1:4" x14ac:dyDescent="0.3">
      <c r="A5" s="17">
        <v>45840</v>
      </c>
      <c r="B5" s="5"/>
      <c r="C5" s="9">
        <v>8</v>
      </c>
      <c r="D5" s="10">
        <v>8</v>
      </c>
    </row>
    <row r="6" spans="1:4" x14ac:dyDescent="0.3">
      <c r="A6" s="18">
        <v>45841</v>
      </c>
      <c r="B6" s="19">
        <v>15</v>
      </c>
      <c r="C6" s="20"/>
      <c r="D6" s="15">
        <v>15</v>
      </c>
    </row>
    <row r="7" spans="1:4" x14ac:dyDescent="0.3">
      <c r="A7" s="18">
        <v>45843</v>
      </c>
      <c r="B7" s="19">
        <v>25</v>
      </c>
      <c r="C7" s="20">
        <v>6</v>
      </c>
      <c r="D7" s="15">
        <v>31</v>
      </c>
    </row>
    <row r="8" spans="1:4" x14ac:dyDescent="0.3">
      <c r="A8" s="18">
        <v>45845</v>
      </c>
      <c r="B8" s="19"/>
      <c r="C8" s="20">
        <v>20</v>
      </c>
      <c r="D8" s="15">
        <v>20</v>
      </c>
    </row>
    <row r="9" spans="1:4" x14ac:dyDescent="0.3">
      <c r="A9" s="18">
        <v>45846</v>
      </c>
      <c r="B9" s="19">
        <v>59</v>
      </c>
      <c r="C9" s="20"/>
      <c r="D9" s="15">
        <v>59</v>
      </c>
    </row>
    <row r="10" spans="1:4" x14ac:dyDescent="0.3">
      <c r="A10" s="18">
        <v>45848</v>
      </c>
      <c r="B10" s="19">
        <v>19</v>
      </c>
      <c r="C10" s="20">
        <v>11</v>
      </c>
      <c r="D10" s="15">
        <v>30</v>
      </c>
    </row>
    <row r="11" spans="1:4" x14ac:dyDescent="0.3">
      <c r="A11" s="14" t="s">
        <v>39</v>
      </c>
      <c r="B11" s="21">
        <v>118</v>
      </c>
      <c r="C11" s="22">
        <v>45</v>
      </c>
      <c r="D11" s="16">
        <v>163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8046-51C1-4245-9DF3-2195DAEEAF31}">
  <dimension ref="A1:AI45"/>
  <sheetViews>
    <sheetView topLeftCell="A6" workbookViewId="0">
      <selection activeCell="T19" sqref="T19"/>
    </sheetView>
  </sheetViews>
  <sheetFormatPr defaultRowHeight="14.4" x14ac:dyDescent="0.3"/>
  <sheetData>
    <row r="1" spans="1:35"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3"/>
    </row>
    <row r="2" spans="1:35"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3"/>
    </row>
    <row r="3" spans="1:35" ht="36.6" x14ac:dyDescent="0.7">
      <c r="A3" s="24"/>
      <c r="B3" s="24"/>
      <c r="C3" s="24"/>
      <c r="D3" s="24"/>
      <c r="E3" s="24"/>
      <c r="F3" s="24"/>
      <c r="G3" s="24"/>
      <c r="H3" s="24"/>
      <c r="I3" s="25" t="s">
        <v>48</v>
      </c>
      <c r="J3" s="24"/>
      <c r="K3" s="24"/>
      <c r="L3" s="24"/>
      <c r="M3" s="24"/>
      <c r="N3" s="24"/>
      <c r="O3" s="24"/>
      <c r="P3" s="24"/>
      <c r="Q3" s="24"/>
      <c r="R3" s="24"/>
      <c r="S3" s="24"/>
      <c r="T3" s="24"/>
      <c r="U3" s="24"/>
      <c r="V3" s="24"/>
      <c r="W3" s="24"/>
      <c r="X3" s="24"/>
      <c r="Y3" s="24"/>
      <c r="Z3" s="24"/>
      <c r="AA3" s="24"/>
      <c r="AB3" s="24"/>
      <c r="AC3" s="24"/>
      <c r="AD3" s="24"/>
      <c r="AE3" s="24"/>
      <c r="AF3" s="24"/>
      <c r="AG3" s="24"/>
      <c r="AH3" s="24"/>
      <c r="AI3" s="23"/>
    </row>
    <row r="4" spans="1:35"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3"/>
    </row>
    <row r="5" spans="1:35"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row>
    <row r="6" spans="1:35"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row>
    <row r="7" spans="1:35" x14ac:dyDescent="0.3">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row>
    <row r="8" spans="1:35"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row>
    <row r="9" spans="1:35"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row>
    <row r="10" spans="1:35"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row>
    <row r="11" spans="1:35"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row>
    <row r="12" spans="1:35"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row>
    <row r="13" spans="1:35"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row>
    <row r="14" spans="1:35"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row>
    <row r="15" spans="1:35"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row>
    <row r="16" spans="1:35"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row>
    <row r="17" spans="1:35"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row>
    <row r="18" spans="1:35"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row>
    <row r="19" spans="1:35"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row>
    <row r="20" spans="1:35"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row>
    <row r="21" spans="1:35"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row>
    <row r="22" spans="1:35"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row>
    <row r="23" spans="1:35"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row>
    <row r="24" spans="1:35"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row>
    <row r="25" spans="1:35"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row>
    <row r="26" spans="1:35"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row>
    <row r="27" spans="1:35"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row>
    <row r="28" spans="1:35"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row>
    <row r="29" spans="1:35"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row>
    <row r="30" spans="1:35"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row>
    <row r="31" spans="1:35"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row>
    <row r="32" spans="1:35"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row>
    <row r="33" spans="1:35"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row>
    <row r="34" spans="1:35"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row>
    <row r="35" spans="1:35"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row>
    <row r="36" spans="1:35"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row>
    <row r="37" spans="1:35"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row>
    <row r="38" spans="1:35"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row>
    <row r="39" spans="1:35"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row>
    <row r="40" spans="1:35"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row>
    <row r="41" spans="1:35"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row>
    <row r="42" spans="1:35"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row>
    <row r="43" spans="1:35"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row>
    <row r="44" spans="1:35"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row>
    <row r="45" spans="1:35"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5129-3060-42ED-BB72-E58933795DD2}">
  <dimension ref="A3:B7"/>
  <sheetViews>
    <sheetView workbookViewId="0">
      <selection activeCell="A3" sqref="A3"/>
    </sheetView>
  </sheetViews>
  <sheetFormatPr defaultRowHeight="14.4" x14ac:dyDescent="0.3"/>
  <cols>
    <col min="1" max="1" width="12.44140625" bestFit="1" customWidth="1"/>
    <col min="2" max="2" width="13.77734375" bestFit="1" customWidth="1"/>
  </cols>
  <sheetData>
    <row r="3" spans="1:2" x14ac:dyDescent="0.3">
      <c r="A3" s="8" t="s">
        <v>44</v>
      </c>
      <c r="B3" s="10" t="s">
        <v>40</v>
      </c>
    </row>
    <row r="4" spans="1:2" x14ac:dyDescent="0.3">
      <c r="A4" s="11" t="s">
        <v>11</v>
      </c>
      <c r="B4" s="10">
        <v>11380</v>
      </c>
    </row>
    <row r="5" spans="1:2" x14ac:dyDescent="0.3">
      <c r="A5" s="13" t="s">
        <v>17</v>
      </c>
      <c r="B5" s="15">
        <v>15445</v>
      </c>
    </row>
    <row r="6" spans="1:2" x14ac:dyDescent="0.3">
      <c r="A6" s="13" t="s">
        <v>22</v>
      </c>
      <c r="B6" s="15">
        <v>8670</v>
      </c>
    </row>
    <row r="7" spans="1:2" x14ac:dyDescent="0.3">
      <c r="A7" s="14" t="s">
        <v>39</v>
      </c>
      <c r="B7" s="16">
        <v>35495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8D6D-D813-475A-AC91-203F58764F91}">
  <dimension ref="A3:B14"/>
  <sheetViews>
    <sheetView topLeftCell="B1" workbookViewId="0">
      <selection activeCell="A3" sqref="A3:B14"/>
    </sheetView>
  </sheetViews>
  <sheetFormatPr defaultRowHeight="14.4" x14ac:dyDescent="0.3"/>
  <cols>
    <col min="1" max="1" width="10.5546875" bestFit="1" customWidth="1"/>
    <col min="2" max="2" width="16.88671875" bestFit="1" customWidth="1"/>
    <col min="3" max="11" width="10.33203125" bestFit="1" customWidth="1"/>
    <col min="12" max="12" width="10.5546875" bestFit="1" customWidth="1"/>
  </cols>
  <sheetData>
    <row r="3" spans="1:2" x14ac:dyDescent="0.3">
      <c r="A3" s="8" t="s">
        <v>45</v>
      </c>
      <c r="B3" s="10" t="s">
        <v>43</v>
      </c>
    </row>
    <row r="4" spans="1:2" x14ac:dyDescent="0.3">
      <c r="A4" s="17">
        <v>45839</v>
      </c>
      <c r="B4" s="10">
        <v>982.5</v>
      </c>
    </row>
    <row r="5" spans="1:2" x14ac:dyDescent="0.3">
      <c r="A5" s="18">
        <v>45840</v>
      </c>
      <c r="B5" s="15">
        <v>1210</v>
      </c>
    </row>
    <row r="6" spans="1:2" x14ac:dyDescent="0.3">
      <c r="A6" s="18">
        <v>45841</v>
      </c>
      <c r="B6" s="15">
        <v>1455</v>
      </c>
    </row>
    <row r="7" spans="1:2" x14ac:dyDescent="0.3">
      <c r="A7" s="18">
        <v>45842</v>
      </c>
      <c r="B7" s="15">
        <v>450</v>
      </c>
    </row>
    <row r="8" spans="1:2" x14ac:dyDescent="0.3">
      <c r="A8" s="18">
        <v>45843</v>
      </c>
      <c r="B8" s="15">
        <v>1285</v>
      </c>
    </row>
    <row r="9" spans="1:2" x14ac:dyDescent="0.3">
      <c r="A9" s="18">
        <v>45844</v>
      </c>
      <c r="B9" s="15">
        <v>2010</v>
      </c>
    </row>
    <row r="10" spans="1:2" x14ac:dyDescent="0.3">
      <c r="A10" s="18">
        <v>45845</v>
      </c>
      <c r="B10" s="15">
        <v>2380</v>
      </c>
    </row>
    <row r="11" spans="1:2" x14ac:dyDescent="0.3">
      <c r="A11" s="18">
        <v>45846</v>
      </c>
      <c r="B11" s="15">
        <v>1637.5</v>
      </c>
    </row>
    <row r="12" spans="1:2" x14ac:dyDescent="0.3">
      <c r="A12" s="18">
        <v>45847</v>
      </c>
      <c r="B12" s="15">
        <v>787.5</v>
      </c>
    </row>
    <row r="13" spans="1:2" x14ac:dyDescent="0.3">
      <c r="A13" s="18">
        <v>45848</v>
      </c>
      <c r="B13" s="15">
        <v>1562.5</v>
      </c>
    </row>
    <row r="14" spans="1:2" x14ac:dyDescent="0.3">
      <c r="A14" s="14" t="s">
        <v>39</v>
      </c>
      <c r="B14" s="16">
        <v>1365.1923076923076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82E2-2F6F-48FA-9025-1D559ACE0D0E}">
  <dimension ref="A1:E14"/>
  <sheetViews>
    <sheetView topLeftCell="A3" workbookViewId="0">
      <selection activeCell="D20" sqref="D20"/>
    </sheetView>
  </sheetViews>
  <sheetFormatPr defaultRowHeight="14.4" x14ac:dyDescent="0.3"/>
  <cols>
    <col min="1" max="1" width="10.33203125" bestFit="1" customWidth="1"/>
    <col min="2" max="2" width="9.44140625" customWidth="1"/>
    <col min="3" max="3" width="17.5546875" customWidth="1"/>
    <col min="4" max="4" width="31" customWidth="1"/>
    <col min="5" max="5" width="30.88671875" customWidth="1"/>
  </cols>
  <sheetData>
    <row r="1" spans="1:5" x14ac:dyDescent="0.3">
      <c r="A1" t="s">
        <v>0</v>
      </c>
      <c r="B1" t="s">
        <v>9</v>
      </c>
      <c r="C1" t="s">
        <v>49</v>
      </c>
      <c r="D1" t="s">
        <v>50</v>
      </c>
      <c r="E1" t="s">
        <v>51</v>
      </c>
    </row>
    <row r="2" spans="1:5" x14ac:dyDescent="0.3">
      <c r="A2" s="26">
        <v>45839</v>
      </c>
      <c r="B2">
        <v>982.5</v>
      </c>
    </row>
    <row r="3" spans="1:5" x14ac:dyDescent="0.3">
      <c r="A3" s="26">
        <v>45840</v>
      </c>
      <c r="B3">
        <v>1210</v>
      </c>
    </row>
    <row r="4" spans="1:5" x14ac:dyDescent="0.3">
      <c r="A4" s="26">
        <v>45841</v>
      </c>
      <c r="B4">
        <v>1455</v>
      </c>
    </row>
    <row r="5" spans="1:5" x14ac:dyDescent="0.3">
      <c r="A5" s="26">
        <v>45842</v>
      </c>
      <c r="B5">
        <v>450</v>
      </c>
    </row>
    <row r="6" spans="1:5" x14ac:dyDescent="0.3">
      <c r="A6" s="26">
        <v>45843</v>
      </c>
      <c r="B6">
        <v>1285</v>
      </c>
    </row>
    <row r="7" spans="1:5" x14ac:dyDescent="0.3">
      <c r="A7" s="26">
        <v>45844</v>
      </c>
      <c r="B7">
        <v>2010</v>
      </c>
    </row>
    <row r="8" spans="1:5" x14ac:dyDescent="0.3">
      <c r="A8" s="26">
        <v>45845</v>
      </c>
      <c r="B8">
        <v>2380</v>
      </c>
    </row>
    <row r="9" spans="1:5" x14ac:dyDescent="0.3">
      <c r="A9" s="26">
        <v>45846</v>
      </c>
      <c r="B9">
        <v>1637.5</v>
      </c>
    </row>
    <row r="10" spans="1:5" x14ac:dyDescent="0.3">
      <c r="A10" s="26">
        <v>45847</v>
      </c>
      <c r="B10">
        <v>787.5</v>
      </c>
    </row>
    <row r="11" spans="1:5" x14ac:dyDescent="0.3">
      <c r="A11" s="26">
        <v>45848</v>
      </c>
      <c r="B11">
        <v>1562.5</v>
      </c>
      <c r="C11">
        <v>1562.5</v>
      </c>
      <c r="D11" s="27">
        <v>1562.5</v>
      </c>
      <c r="E11" s="27">
        <v>1562.5</v>
      </c>
    </row>
    <row r="12" spans="1:5" x14ac:dyDescent="0.3">
      <c r="A12" s="26">
        <v>45849</v>
      </c>
      <c r="C12">
        <f>_xlfn.FORECAST.ETS(A12,$B$2:$B$11,$A$2:$A$11,1,1)</f>
        <v>1579.3407618418107</v>
      </c>
      <c r="D12" s="27">
        <f>C12-_xlfn.FORECAST.ETS.CONFINT(A12,$B$2:$B$11,$A$2:$A$11,0.95,1,1)</f>
        <v>542.02927059935678</v>
      </c>
      <c r="E12" s="27">
        <f>C12+_xlfn.FORECAST.ETS.CONFINT(A12,$B$2:$B$11,$A$2:$A$11,0.95,1,1)</f>
        <v>2616.6522530842649</v>
      </c>
    </row>
    <row r="13" spans="1:5" x14ac:dyDescent="0.3">
      <c r="A13" s="26">
        <v>45850</v>
      </c>
      <c r="C13">
        <f>_xlfn.FORECAST.ETS(A13,$B$2:$B$11,$A$2:$A$11,1,1)</f>
        <v>1639.3330299281627</v>
      </c>
      <c r="D13" s="27">
        <f>C13-_xlfn.FORECAST.ETS.CONFINT(A13,$B$2:$B$11,$A$2:$A$11,0.95,1,1)</f>
        <v>602.01687079450085</v>
      </c>
      <c r="E13" s="27">
        <f>C13+_xlfn.FORECAST.ETS.CONFINT(A13,$B$2:$B$11,$A$2:$A$11,0.95,1,1)</f>
        <v>2676.6491890618245</v>
      </c>
    </row>
    <row r="14" spans="1:5" x14ac:dyDescent="0.3">
      <c r="A14" s="26">
        <v>45851</v>
      </c>
      <c r="C14">
        <f>_xlfn.FORECAST.ETS(A14,$B$2:$B$11,$A$2:$A$11,1,1)</f>
        <v>1699.3252980145146</v>
      </c>
      <c r="D14" s="27">
        <f>C14-_xlfn.FORECAST.ETS.CONFINT(A14,$B$2:$B$11,$A$2:$A$11,0.95,1,1)</f>
        <v>662.00084045945891</v>
      </c>
      <c r="E14" s="27">
        <f>C14+_xlfn.FORECAST.ETS.CONFINT(A14,$B$2:$B$11,$A$2:$A$11,0.95,1,1)</f>
        <v>2736.6497555695705</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election activeCell="I18" sqref="I18"/>
    </sheetView>
  </sheetViews>
  <sheetFormatPr defaultColWidth="14.44140625" defaultRowHeight="15" customHeight="1" x14ac:dyDescent="0.3"/>
  <cols>
    <col min="1" max="1" width="11.109375" customWidth="1"/>
    <col min="2" max="2" width="12" customWidth="1"/>
    <col min="3" max="3" width="9.88671875" customWidth="1"/>
    <col min="4" max="5" width="8.6640625" customWidth="1"/>
    <col min="6" max="6" width="10.44140625" customWidth="1"/>
    <col min="7" max="22" width="8.6640625" customWidth="1"/>
  </cols>
  <sheetData>
    <row r="1" spans="1:13" ht="14.25" customHeight="1" x14ac:dyDescent="0.3">
      <c r="A1" s="1" t="s">
        <v>0</v>
      </c>
      <c r="B1" s="1" t="s">
        <v>1</v>
      </c>
      <c r="C1" s="1" t="s">
        <v>2</v>
      </c>
      <c r="D1" s="1" t="s">
        <v>7</v>
      </c>
      <c r="E1" s="1" t="s">
        <v>8</v>
      </c>
      <c r="F1" s="1" t="s">
        <v>9</v>
      </c>
    </row>
    <row r="2" spans="1:13" ht="14.25" customHeight="1" x14ac:dyDescent="0.3">
      <c r="A2" s="3">
        <v>45839</v>
      </c>
      <c r="B2" s="4" t="s">
        <v>10</v>
      </c>
      <c r="C2" s="4" t="s">
        <v>11</v>
      </c>
      <c r="D2" s="4">
        <v>12</v>
      </c>
      <c r="E2" s="4">
        <f>_xlfn.XLOOKUP(B:B,Product[[#All],[ProductID]],Product[[#All],[Price]],0,0)</f>
        <v>120</v>
      </c>
      <c r="F2" s="4">
        <v>1440</v>
      </c>
    </row>
    <row r="3" spans="1:13" ht="14.25" customHeight="1" x14ac:dyDescent="0.3">
      <c r="A3" s="3">
        <v>45839</v>
      </c>
      <c r="B3" s="4" t="s">
        <v>16</v>
      </c>
      <c r="C3" s="4" t="s">
        <v>17</v>
      </c>
      <c r="D3" s="4">
        <v>35</v>
      </c>
      <c r="E3" s="4">
        <f>_xlfn.XLOOKUP(B:B,Product[[#All],[ProductID]],Product[[#All],[Price]],0,0)</f>
        <v>15</v>
      </c>
      <c r="F3" s="4">
        <v>525</v>
      </c>
    </row>
    <row r="4" spans="1:13" ht="14.25" customHeight="1" x14ac:dyDescent="0.3">
      <c r="A4" s="3">
        <v>45840</v>
      </c>
      <c r="B4" s="4" t="s">
        <v>21</v>
      </c>
      <c r="C4" s="4" t="s">
        <v>22</v>
      </c>
      <c r="D4" s="4">
        <v>8</v>
      </c>
      <c r="E4" s="4">
        <f>_xlfn.XLOOKUP(B:B,Product[[#All],[ProductID]],Product[[#All],[Price]],0,0)</f>
        <v>220</v>
      </c>
      <c r="F4" s="4">
        <v>1760</v>
      </c>
    </row>
    <row r="5" spans="1:13" ht="14.25" customHeight="1" x14ac:dyDescent="0.3">
      <c r="A5" s="3">
        <v>45840</v>
      </c>
      <c r="B5" s="4" t="s">
        <v>27</v>
      </c>
      <c r="C5" s="4" t="s">
        <v>11</v>
      </c>
      <c r="D5" s="4">
        <v>22</v>
      </c>
      <c r="E5" s="4">
        <f>_xlfn.XLOOKUP(B:B,Product[[#All],[ProductID]],Product[[#All],[Price]],0,0)</f>
        <v>30</v>
      </c>
      <c r="F5" s="4">
        <v>660</v>
      </c>
    </row>
    <row r="6" spans="1:13" ht="14.25" customHeight="1" x14ac:dyDescent="0.3">
      <c r="A6" s="3">
        <v>45841</v>
      </c>
      <c r="B6" s="4" t="s">
        <v>29</v>
      </c>
      <c r="C6" s="4" t="s">
        <v>17</v>
      </c>
      <c r="D6" s="4">
        <v>15</v>
      </c>
      <c r="E6" s="4">
        <f>_xlfn.XLOOKUP(B:B,Product[[#All],[ProductID]],Product[[#All],[Price]],0,0)</f>
        <v>50</v>
      </c>
      <c r="F6" s="4">
        <v>750</v>
      </c>
    </row>
    <row r="7" spans="1:13" ht="14.25" customHeight="1" x14ac:dyDescent="0.3">
      <c r="A7" s="3">
        <v>45841</v>
      </c>
      <c r="B7" s="4" t="s">
        <v>10</v>
      </c>
      <c r="C7" s="4" t="s">
        <v>22</v>
      </c>
      <c r="D7" s="4">
        <v>18</v>
      </c>
      <c r="E7" s="4">
        <f>_xlfn.XLOOKUP(B:B,Product[[#All],[ProductID]],Product[[#All],[Price]],0,0)</f>
        <v>120</v>
      </c>
      <c r="F7" s="4">
        <v>2160</v>
      </c>
    </row>
    <row r="8" spans="1:13" ht="14.25" customHeight="1" x14ac:dyDescent="0.3">
      <c r="A8" s="3">
        <v>45842</v>
      </c>
      <c r="B8" s="4" t="s">
        <v>16</v>
      </c>
      <c r="C8" s="4" t="s">
        <v>11</v>
      </c>
      <c r="D8" s="4">
        <v>40</v>
      </c>
      <c r="E8" s="4">
        <f>_xlfn.XLOOKUP(B:B,Product[[#All],[ProductID]],Product[[#All],[Price]],0,0)</f>
        <v>15</v>
      </c>
      <c r="F8" s="4">
        <v>600</v>
      </c>
    </row>
    <row r="9" spans="1:13" ht="14.25" customHeight="1" x14ac:dyDescent="0.3">
      <c r="A9" s="3">
        <v>45842</v>
      </c>
      <c r="B9" s="4" t="s">
        <v>27</v>
      </c>
      <c r="C9" s="4" t="s">
        <v>17</v>
      </c>
      <c r="D9" s="4">
        <v>10</v>
      </c>
      <c r="E9" s="4">
        <f>_xlfn.XLOOKUP(B:B,Product[[#All],[ProductID]],Product[[#All],[Price]],0,0)</f>
        <v>30</v>
      </c>
      <c r="F9" s="4">
        <v>300</v>
      </c>
    </row>
    <row r="10" spans="1:13" ht="14.25" customHeight="1" x14ac:dyDescent="0.3">
      <c r="A10" s="3">
        <v>45843</v>
      </c>
      <c r="B10" s="4" t="s">
        <v>21</v>
      </c>
      <c r="C10" s="4" t="s">
        <v>22</v>
      </c>
      <c r="D10" s="4">
        <v>6</v>
      </c>
      <c r="E10" s="4">
        <f>_xlfn.XLOOKUP(B:B,Product[[#All],[ProductID]],Product[[#All],[Price]],0,0)</f>
        <v>220</v>
      </c>
      <c r="F10" s="4">
        <v>1320</v>
      </c>
    </row>
    <row r="11" spans="1:13" ht="14.25" customHeight="1" x14ac:dyDescent="0.3">
      <c r="A11" s="3">
        <v>45843</v>
      </c>
      <c r="B11" s="4" t="s">
        <v>29</v>
      </c>
      <c r="C11" s="4" t="s">
        <v>11</v>
      </c>
      <c r="D11" s="4">
        <v>25</v>
      </c>
      <c r="E11" s="4">
        <f>_xlfn.XLOOKUP(B:B,Product[[#All],[ProductID]],Product[[#All],[Price]],0,0)</f>
        <v>50</v>
      </c>
      <c r="F11" s="4">
        <v>1250</v>
      </c>
    </row>
    <row r="12" spans="1:13" ht="18.75" customHeight="1" x14ac:dyDescent="0.3">
      <c r="A12" s="3">
        <v>45844</v>
      </c>
      <c r="B12" s="4" t="s">
        <v>10</v>
      </c>
      <c r="C12" s="4" t="s">
        <v>17</v>
      </c>
      <c r="D12" s="4">
        <v>30</v>
      </c>
      <c r="E12" s="4">
        <f>_xlfn.XLOOKUP(B:B,Product[[#All],[ProductID]],Product[[#All],[Price]],0,0)</f>
        <v>120</v>
      </c>
      <c r="F12" s="4">
        <v>3600</v>
      </c>
      <c r="J12" s="1"/>
      <c r="K12" s="1"/>
      <c r="L12" s="1"/>
      <c r="M12" s="1"/>
    </row>
    <row r="13" spans="1:13" ht="14.25" customHeight="1" x14ac:dyDescent="0.3">
      <c r="A13" s="3">
        <v>45844</v>
      </c>
      <c r="B13" s="4" t="s">
        <v>16</v>
      </c>
      <c r="C13" s="4" t="s">
        <v>22</v>
      </c>
      <c r="D13" s="4">
        <v>28</v>
      </c>
      <c r="E13" s="4">
        <f>_xlfn.XLOOKUP(B:B,Product[[#All],[ProductID]],Product[[#All],[Price]],0,0)</f>
        <v>15</v>
      </c>
      <c r="F13" s="4">
        <v>420</v>
      </c>
    </row>
    <row r="14" spans="1:13" ht="14.25" customHeight="1" x14ac:dyDescent="0.3">
      <c r="A14" s="3">
        <v>45845</v>
      </c>
      <c r="B14" s="4" t="s">
        <v>27</v>
      </c>
      <c r="C14" s="4" t="s">
        <v>11</v>
      </c>
      <c r="D14" s="4">
        <v>12</v>
      </c>
      <c r="E14" s="4">
        <f>_xlfn.XLOOKUP(B:B,Product[[#All],[ProductID]],Product[[#All],[Price]],0,0)</f>
        <v>30</v>
      </c>
      <c r="F14" s="4">
        <v>360</v>
      </c>
    </row>
    <row r="15" spans="1:13" ht="14.25" customHeight="1" x14ac:dyDescent="0.3">
      <c r="A15" s="3">
        <v>45845</v>
      </c>
      <c r="B15" s="4" t="s">
        <v>21</v>
      </c>
      <c r="C15" s="4" t="s">
        <v>17</v>
      </c>
      <c r="D15" s="4">
        <v>20</v>
      </c>
      <c r="E15" s="4">
        <f>_xlfn.XLOOKUP(B:B,Product[[#All],[ProductID]],Product[[#All],[Price]],0,0)</f>
        <v>220</v>
      </c>
      <c r="F15" s="4">
        <v>4400</v>
      </c>
    </row>
    <row r="16" spans="1:13" ht="14.25" customHeight="1" x14ac:dyDescent="0.3">
      <c r="A16" s="3">
        <v>45846</v>
      </c>
      <c r="B16" s="4" t="s">
        <v>29</v>
      </c>
      <c r="C16" s="4" t="s">
        <v>22</v>
      </c>
      <c r="D16" s="4">
        <v>14</v>
      </c>
      <c r="E16" s="4">
        <f>_xlfn.XLOOKUP(B:B,Product[[#All],[ProductID]],Product[[#All],[Price]],0,0)</f>
        <v>50</v>
      </c>
      <c r="F16" s="4">
        <v>700</v>
      </c>
    </row>
    <row r="17" spans="1:6" ht="14.25" customHeight="1" x14ac:dyDescent="0.3">
      <c r="A17" s="3">
        <v>45846</v>
      </c>
      <c r="B17" s="4" t="s">
        <v>10</v>
      </c>
      <c r="C17" s="4" t="s">
        <v>11</v>
      </c>
      <c r="D17" s="4">
        <v>16</v>
      </c>
      <c r="E17" s="4">
        <f>_xlfn.XLOOKUP(B:B,Product[[#All],[ProductID]],Product[[#All],[Price]],0,0)</f>
        <v>120</v>
      </c>
      <c r="F17" s="4">
        <v>1920</v>
      </c>
    </row>
    <row r="18" spans="1:6" ht="14.25" customHeight="1" x14ac:dyDescent="0.3">
      <c r="A18" s="3">
        <v>45847</v>
      </c>
      <c r="B18" s="4" t="s">
        <v>16</v>
      </c>
      <c r="C18" s="4" t="s">
        <v>17</v>
      </c>
      <c r="D18" s="4">
        <v>50</v>
      </c>
      <c r="E18" s="4">
        <f>_xlfn.XLOOKUP(B:B,Product[[#All],[ProductID]],Product[[#All],[Price]],0,0)</f>
        <v>15</v>
      </c>
      <c r="F18" s="4">
        <v>750</v>
      </c>
    </row>
    <row r="19" spans="1:6" ht="14.25" customHeight="1" x14ac:dyDescent="0.3">
      <c r="A19" s="3">
        <v>45847</v>
      </c>
      <c r="B19" s="4" t="s">
        <v>27</v>
      </c>
      <c r="C19" s="4" t="s">
        <v>22</v>
      </c>
      <c r="D19" s="4">
        <v>8</v>
      </c>
      <c r="E19" s="4">
        <f>_xlfn.XLOOKUP(B:B,Product[[#All],[ProductID]],Product[[#All],[Price]],0,0)</f>
        <v>30</v>
      </c>
      <c r="F19" s="4">
        <v>240</v>
      </c>
    </row>
    <row r="20" spans="1:6" ht="14.25" customHeight="1" x14ac:dyDescent="0.3">
      <c r="A20" s="3">
        <v>45848</v>
      </c>
      <c r="B20" s="4" t="s">
        <v>21</v>
      </c>
      <c r="C20" s="4" t="s">
        <v>11</v>
      </c>
      <c r="D20" s="4">
        <v>11</v>
      </c>
      <c r="E20" s="4">
        <f>_xlfn.XLOOKUP(B:B,Product[[#All],[ProductID]],Product[[#All],[Price]],0,0)</f>
        <v>220</v>
      </c>
      <c r="F20" s="4">
        <v>2420</v>
      </c>
    </row>
    <row r="21" spans="1:6" ht="14.25" customHeight="1" x14ac:dyDescent="0.3">
      <c r="A21" s="3">
        <v>45848</v>
      </c>
      <c r="B21" s="4" t="s">
        <v>29</v>
      </c>
      <c r="C21" s="4" t="s">
        <v>17</v>
      </c>
      <c r="D21" s="4">
        <v>19</v>
      </c>
      <c r="E21" s="4">
        <f>_xlfn.XLOOKUP(B:B,Product[[#All],[ProductID]],Product[[#All],[Price]],0,0)</f>
        <v>50</v>
      </c>
      <c r="F21" s="4">
        <v>950</v>
      </c>
    </row>
    <row r="22" spans="1:6" ht="14.25" customHeight="1" x14ac:dyDescent="0.3">
      <c r="A22" s="3">
        <v>45846</v>
      </c>
      <c r="B22" s="4" t="s">
        <v>10</v>
      </c>
      <c r="C22" s="4" t="s">
        <v>22</v>
      </c>
      <c r="D22" s="4">
        <v>14</v>
      </c>
      <c r="E22" s="4">
        <f>_xlfn.XLOOKUP(B:B,Product[[#All],[ProductID]],Product[[#All],[Price]],0,0)</f>
        <v>120</v>
      </c>
      <c r="F22" s="4">
        <v>1680</v>
      </c>
    </row>
    <row r="23" spans="1:6" ht="14.25" customHeight="1" x14ac:dyDescent="0.3">
      <c r="A23" s="3">
        <v>45846</v>
      </c>
      <c r="B23" s="4" t="s">
        <v>29</v>
      </c>
      <c r="C23" s="4" t="s">
        <v>11</v>
      </c>
      <c r="D23" s="4">
        <v>45</v>
      </c>
      <c r="E23" s="4">
        <f>_xlfn.XLOOKUP(B:B,Product[[#All],[ProductID]],Product[[#All],[Price]],0,0)</f>
        <v>50</v>
      </c>
      <c r="F23" s="4">
        <v>2250</v>
      </c>
    </row>
    <row r="24" spans="1:6" ht="14.25" customHeight="1" x14ac:dyDescent="0.3">
      <c r="A24" s="3">
        <v>45847</v>
      </c>
      <c r="B24" s="4" t="s">
        <v>27</v>
      </c>
      <c r="C24" s="4" t="s">
        <v>17</v>
      </c>
      <c r="D24" s="4">
        <v>59</v>
      </c>
      <c r="E24" s="4">
        <f>_xlfn.XLOOKUP(B:B,Product[[#All],[ProductID]],Product[[#All],[Price]],0,0)</f>
        <v>30</v>
      </c>
      <c r="F24" s="4">
        <v>1770</v>
      </c>
    </row>
    <row r="25" spans="1:6" ht="14.25" customHeight="1" x14ac:dyDescent="0.3">
      <c r="A25" s="3">
        <v>45847</v>
      </c>
      <c r="B25" s="4" t="s">
        <v>16</v>
      </c>
      <c r="C25" s="4" t="s">
        <v>22</v>
      </c>
      <c r="D25" s="4">
        <v>26</v>
      </c>
      <c r="E25" s="4">
        <f>_xlfn.XLOOKUP(B:B,Product[[#All],[ProductID]],Product[[#All],[Price]],0,0)</f>
        <v>15</v>
      </c>
      <c r="F25" s="4">
        <v>390</v>
      </c>
    </row>
    <row r="26" spans="1:6" ht="14.25" customHeight="1" x14ac:dyDescent="0.3">
      <c r="A26" s="3">
        <v>45848</v>
      </c>
      <c r="B26" s="4" t="s">
        <v>27</v>
      </c>
      <c r="C26" s="4" t="s">
        <v>11</v>
      </c>
      <c r="D26" s="4">
        <v>16</v>
      </c>
      <c r="E26" s="4">
        <f>_xlfn.XLOOKUP(B:B,Product[[#All],[ProductID]],Product[[#All],[Price]],0,0)</f>
        <v>30</v>
      </c>
      <c r="F26" s="4">
        <v>480</v>
      </c>
    </row>
    <row r="27" spans="1:6" ht="14.25" customHeight="1" x14ac:dyDescent="0.3">
      <c r="A27" s="3">
        <v>45848</v>
      </c>
      <c r="B27" s="4" t="s">
        <v>10</v>
      </c>
      <c r="C27" s="4" t="s">
        <v>17</v>
      </c>
      <c r="D27" s="4">
        <v>20</v>
      </c>
      <c r="E27" s="4">
        <f>_xlfn.XLOOKUP(B:B,Product[[#All],[ProductID]],Product[[#All],[Price]],0,0)</f>
        <v>120</v>
      </c>
      <c r="F27" s="4">
        <v>2400</v>
      </c>
    </row>
    <row r="28" spans="1:6" ht="14.25" customHeight="1" x14ac:dyDescent="0.3"/>
    <row r="29" spans="1:6" ht="14.25" customHeight="1" x14ac:dyDescent="0.3"/>
    <row r="30" spans="1:6" ht="14.25" customHeight="1" x14ac:dyDescent="0.3"/>
    <row r="31" spans="1:6" ht="14.25" customHeight="1" x14ac:dyDescent="0.3"/>
    <row r="32" spans="1:6" ht="14.25" customHeight="1" x14ac:dyDescent="0.3"/>
    <row r="33" spans="1:1" ht="14.25" customHeight="1" x14ac:dyDescent="0.3">
      <c r="A33" s="3"/>
    </row>
    <row r="34" spans="1:1" ht="14.25" customHeight="1" x14ac:dyDescent="0.3">
      <c r="A34" s="3"/>
    </row>
    <row r="35" spans="1:1" ht="14.25" customHeight="1" x14ac:dyDescent="0.3">
      <c r="A35" s="3"/>
    </row>
    <row r="36" spans="1:1" ht="14.25" customHeight="1" x14ac:dyDescent="0.3">
      <c r="A36" s="3"/>
    </row>
    <row r="37" spans="1:1" ht="14.25" customHeight="1" x14ac:dyDescent="0.3"/>
    <row r="38" spans="1:1" ht="14.25" customHeight="1" x14ac:dyDescent="0.3"/>
    <row r="39" spans="1:1" ht="14.25" customHeight="1" x14ac:dyDescent="0.3"/>
    <row r="40" spans="1:1" ht="14.25" customHeight="1" x14ac:dyDescent="0.3"/>
    <row r="41" spans="1:1" ht="14.25" customHeight="1" x14ac:dyDescent="0.3"/>
    <row r="42" spans="1:1" ht="14.25" customHeight="1" x14ac:dyDescent="0.3"/>
    <row r="43" spans="1:1" ht="14.25" customHeight="1" x14ac:dyDescent="0.3"/>
    <row r="44" spans="1:1" ht="14.25" customHeight="1" x14ac:dyDescent="0.3"/>
    <row r="45" spans="1:1" ht="14.25" customHeight="1" x14ac:dyDescent="0.3"/>
    <row r="46" spans="1:1" ht="14.25" customHeight="1" x14ac:dyDescent="0.3"/>
    <row r="47" spans="1:1" ht="14.25" customHeight="1" x14ac:dyDescent="0.3"/>
    <row r="48" spans="1:1"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B4" sqref="B4"/>
    </sheetView>
  </sheetViews>
  <sheetFormatPr defaultColWidth="14.44140625" defaultRowHeight="15" customHeight="1" x14ac:dyDescent="0.3"/>
  <cols>
    <col min="1" max="1" width="12" customWidth="1"/>
    <col min="2" max="2" width="15.44140625" customWidth="1"/>
    <col min="3" max="3" width="13.6640625" customWidth="1"/>
    <col min="4" max="26" width="8.6640625" customWidth="1"/>
  </cols>
  <sheetData>
    <row r="1" spans="1:4" ht="14.25" customHeight="1" x14ac:dyDescent="0.3">
      <c r="A1" s="1" t="s">
        <v>1</v>
      </c>
      <c r="B1" s="1" t="s">
        <v>32</v>
      </c>
      <c r="C1" s="1" t="s">
        <v>33</v>
      </c>
      <c r="D1" s="1" t="s">
        <v>34</v>
      </c>
    </row>
    <row r="2" spans="1:4" ht="14.25" customHeight="1" x14ac:dyDescent="0.3">
      <c r="A2" s="4" t="s">
        <v>10</v>
      </c>
      <c r="B2" s="4" t="s">
        <v>14</v>
      </c>
      <c r="C2" s="4" t="s">
        <v>15</v>
      </c>
      <c r="D2" s="4">
        <v>120</v>
      </c>
    </row>
    <row r="3" spans="1:4" ht="14.25" customHeight="1" x14ac:dyDescent="0.3">
      <c r="A3" s="4" t="s">
        <v>16</v>
      </c>
      <c r="B3" s="4" t="s">
        <v>20</v>
      </c>
      <c r="C3" s="4" t="s">
        <v>15</v>
      </c>
      <c r="D3" s="4">
        <v>15</v>
      </c>
    </row>
    <row r="4" spans="1:4" ht="14.25" customHeight="1" x14ac:dyDescent="0.3">
      <c r="A4" s="4" t="s">
        <v>21</v>
      </c>
      <c r="B4" s="4" t="s">
        <v>25</v>
      </c>
      <c r="C4" s="4" t="s">
        <v>26</v>
      </c>
      <c r="D4" s="4">
        <v>220</v>
      </c>
    </row>
    <row r="5" spans="1:4" ht="14.25" customHeight="1" x14ac:dyDescent="0.3">
      <c r="A5" s="4" t="s">
        <v>27</v>
      </c>
      <c r="B5" s="4" t="s">
        <v>28</v>
      </c>
      <c r="C5" s="4" t="s">
        <v>15</v>
      </c>
      <c r="D5" s="4">
        <v>30</v>
      </c>
    </row>
    <row r="6" spans="1:4" ht="14.25" customHeight="1" x14ac:dyDescent="0.3">
      <c r="A6" s="4" t="s">
        <v>29</v>
      </c>
      <c r="B6" s="4" t="s">
        <v>30</v>
      </c>
      <c r="C6" s="4" t="s">
        <v>26</v>
      </c>
      <c r="D6" s="4">
        <v>50</v>
      </c>
    </row>
    <row r="7" spans="1:4" ht="14.25" customHeight="1" x14ac:dyDescent="0.3"/>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B3" sqref="B3"/>
    </sheetView>
  </sheetViews>
  <sheetFormatPr defaultColWidth="14.44140625" defaultRowHeight="15" customHeight="1" x14ac:dyDescent="0.3"/>
  <cols>
    <col min="1" max="1" width="9.88671875" customWidth="1"/>
    <col min="2" max="2" width="16.109375" customWidth="1"/>
    <col min="3" max="3" width="9.33203125" customWidth="1"/>
    <col min="4" max="26" width="8.6640625" customWidth="1"/>
  </cols>
  <sheetData>
    <row r="1" spans="1:3" ht="14.25" customHeight="1" x14ac:dyDescent="0.3">
      <c r="A1" s="1" t="s">
        <v>2</v>
      </c>
      <c r="B1" s="1" t="s">
        <v>35</v>
      </c>
      <c r="C1" s="1" t="s">
        <v>36</v>
      </c>
    </row>
    <row r="2" spans="1:3" ht="14.25" customHeight="1" x14ac:dyDescent="0.3">
      <c r="A2" s="4" t="s">
        <v>11</v>
      </c>
      <c r="B2" s="4" t="s">
        <v>12</v>
      </c>
      <c r="C2" s="4" t="s">
        <v>13</v>
      </c>
    </row>
    <row r="3" spans="1:3" ht="14.25" customHeight="1" x14ac:dyDescent="0.3">
      <c r="A3" s="4" t="s">
        <v>17</v>
      </c>
      <c r="B3" s="4" t="s">
        <v>37</v>
      </c>
      <c r="C3" s="4" t="s">
        <v>19</v>
      </c>
    </row>
    <row r="4" spans="1:3" ht="14.25" customHeight="1" x14ac:dyDescent="0.3">
      <c r="A4" s="4" t="s">
        <v>22</v>
      </c>
      <c r="B4" s="4" t="s">
        <v>23</v>
      </c>
      <c r="C4" s="4" t="s">
        <v>24</v>
      </c>
    </row>
    <row r="5" spans="1:3" ht="14.25" customHeight="1" x14ac:dyDescent="0.3"/>
    <row r="6" spans="1:3" ht="14.25" customHeight="1" x14ac:dyDescent="0.3"/>
    <row r="7" spans="1:3" ht="14.25" customHeight="1" x14ac:dyDescent="0.3"/>
    <row r="8" spans="1:3" ht="14.25" customHeight="1" x14ac:dyDescent="0.3"/>
    <row r="9" spans="1:3" ht="14.25" customHeight="1" x14ac:dyDescent="0.3"/>
    <row r="10" spans="1:3" ht="14.25" customHeight="1" x14ac:dyDescent="0.3"/>
    <row r="11" spans="1:3" ht="14.25" customHeight="1" x14ac:dyDescent="0.3"/>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77DF1FD-EE8B-4361-96FB-567462F50C73}">
  <ds:schemaRefs/>
</ds:datastoreItem>
</file>

<file path=customXml/itemProps2.xml><?xml version="1.0" encoding="utf-8"?>
<ds:datastoreItem xmlns:ds="http://schemas.openxmlformats.org/officeDocument/2006/customXml" ds:itemID="{7681960B-84DF-4685-8683-E904FCF9F387}">
  <ds:schemaRefs/>
</ds:datastoreItem>
</file>

<file path=customXml/itemProps3.xml><?xml version="1.0" encoding="utf-8"?>
<ds:datastoreItem xmlns:ds="http://schemas.openxmlformats.org/officeDocument/2006/customXml" ds:itemID="{0B8C2554-E1D9-4451-B451-69D9B01FAD83}">
  <ds:schemaRefs/>
</ds:datastoreItem>
</file>

<file path=customXml/itemProps4.xml><?xml version="1.0" encoding="utf-8"?>
<ds:datastoreItem xmlns:ds="http://schemas.openxmlformats.org/officeDocument/2006/customXml" ds:itemID="{FDB56502-4E91-4310-8DFE-6011092D753B}">
  <ds:schemaRefs/>
</ds:datastoreItem>
</file>

<file path=customXml/itemProps5.xml><?xml version="1.0" encoding="utf-8"?>
<ds:datastoreItem xmlns:ds="http://schemas.openxmlformats.org/officeDocument/2006/customXml" ds:itemID="{9AE1CE63-4523-4AD4-B990-1548D99B70E5}">
  <ds:schemaRefs/>
</ds:datastoreItem>
</file>

<file path=customXml/itemProps6.xml><?xml version="1.0" encoding="utf-8"?>
<ds:datastoreItem xmlns:ds="http://schemas.openxmlformats.org/officeDocument/2006/customXml" ds:itemID="{6610E93E-8B57-420F-A213-8F89BE493FED}">
  <ds:schemaRefs/>
</ds:datastoreItem>
</file>

<file path=customXml/itemProps7.xml><?xml version="1.0" encoding="utf-8"?>
<ds:datastoreItem xmlns:ds="http://schemas.openxmlformats.org/officeDocument/2006/customXml" ds:itemID="{141206EB-76D9-4CCD-98ED-1D84309186B3}">
  <ds:schemaRefs/>
</ds:datastoreItem>
</file>

<file path=customXml/itemProps8.xml><?xml version="1.0" encoding="utf-8"?>
<ds:datastoreItem xmlns:ds="http://schemas.openxmlformats.org/officeDocument/2006/customXml" ds:itemID="{E230347D-BD93-499B-8950-D5E50631CE01}">
  <ds:schemaRefs/>
</ds:datastoreItem>
</file>

<file path=customXml/itemProps9.xml><?xml version="1.0" encoding="utf-8"?>
<ds:datastoreItem xmlns:ds="http://schemas.openxmlformats.org/officeDocument/2006/customXml" ds:itemID="{0CBD3332-3206-47C3-BC46-45200CCB2298}">
  <ds:schemaRefs/>
</ds:datastoreItem>
</file>

<file path=customXml/itemProps10.xml><?xml version="1.0" encoding="utf-8"?>
<ds:datastoreItem xmlns:ds="http://schemas.openxmlformats.org/officeDocument/2006/customXml" ds:itemID="{74533A75-9213-46EA-8F6F-3884BF59FEC3}">
  <ds:schemaRefs/>
</ds:datastoreItem>
</file>

<file path=customXml/itemProps11.xml><?xml version="1.0" encoding="utf-8"?>
<ds:datastoreItem xmlns:ds="http://schemas.openxmlformats.org/officeDocument/2006/customXml" ds:itemID="{28674A8D-5798-4E72-8BAE-386D65792E61}">
  <ds:schemaRefs/>
</ds:datastoreItem>
</file>

<file path=customXml/itemProps12.xml><?xml version="1.0" encoding="utf-8"?>
<ds:datastoreItem xmlns:ds="http://schemas.openxmlformats.org/officeDocument/2006/customXml" ds:itemID="{A4758D37-645B-4029-B35D-EEEBABEF011D}">
  <ds:schemaRefs/>
</ds:datastoreItem>
</file>

<file path=customXml/itemProps13.xml><?xml version="1.0" encoding="utf-8"?>
<ds:datastoreItem xmlns:ds="http://schemas.openxmlformats.org/officeDocument/2006/customXml" ds:itemID="{5D07FE71-6E9B-4B39-BB21-FF3326DD08C6}">
  <ds:schemaRefs/>
</ds:datastoreItem>
</file>

<file path=customXml/itemProps14.xml><?xml version="1.0" encoding="utf-8"?>
<ds:datastoreItem xmlns:ds="http://schemas.openxmlformats.org/officeDocument/2006/customXml" ds:itemID="{73CA3CD9-A952-4AA6-93FE-DA1D96CBBCE6}">
  <ds:schemaRefs/>
</ds:datastoreItem>
</file>

<file path=customXml/itemProps15.xml><?xml version="1.0" encoding="utf-8"?>
<ds:datastoreItem xmlns:ds="http://schemas.openxmlformats.org/officeDocument/2006/customXml" ds:itemID="{B354725D-9DA8-4093-90FA-84B803D6EA35}">
  <ds:schemaRefs/>
</ds:datastoreItem>
</file>

<file path=customXml/itemProps16.xml><?xml version="1.0" encoding="utf-8"?>
<ds:datastoreItem xmlns:ds="http://schemas.openxmlformats.org/officeDocument/2006/customXml" ds:itemID="{F76DB7D6-B24E-442A-A1F0-47048DFBEDB8}">
  <ds:schemaRefs/>
</ds:datastoreItem>
</file>

<file path=customXml/itemProps17.xml><?xml version="1.0" encoding="utf-8"?>
<ds:datastoreItem xmlns:ds="http://schemas.openxmlformats.org/officeDocument/2006/customXml" ds:itemID="{EEF3046E-600E-4D54-BA2C-B1D863146F2C}">
  <ds:schemaRefs/>
</ds:datastoreItem>
</file>

<file path=customXml/itemProps18.xml><?xml version="1.0" encoding="utf-8"?>
<ds:datastoreItem xmlns:ds="http://schemas.openxmlformats.org/officeDocument/2006/customXml" ds:itemID="{71326B5F-87EE-4AF3-87FA-DE0465D4E5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transformed Sales data</vt:lpstr>
      <vt:lpstr>product vs unit sold region</vt:lpstr>
      <vt:lpstr>product vs Revenue</vt:lpstr>
      <vt:lpstr>date vs total unit sold</vt:lpstr>
      <vt:lpstr>Dashboard</vt:lpstr>
      <vt:lpstr>Store vs total revenue</vt:lpstr>
      <vt:lpstr>Date vs average revenue</vt:lpstr>
      <vt:lpstr>Forecasting for august month</vt:lpstr>
      <vt:lpstr>sales_original</vt:lpstr>
      <vt:lpstr>product table</vt:lpstr>
      <vt:lpstr>stores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Geetha Gunasekaran</dc:creator>
  <cp:lastModifiedBy>Manikandan M</cp:lastModifiedBy>
  <dcterms:created xsi:type="dcterms:W3CDTF">2025-08-25T05:08:34Z</dcterms:created>
  <dcterms:modified xsi:type="dcterms:W3CDTF">2025-11-14T17:08:53Z</dcterms:modified>
</cp:coreProperties>
</file>